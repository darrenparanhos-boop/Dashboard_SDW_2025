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13_ncr:1_{9C4AF384-0D8A-4E89-B6A6-A5BC999B82DC}" xr6:coauthVersionLast="36" xr6:coauthVersionMax="36" xr10:uidLastSave="{00000000-0000-0000-0000-000000000000}"/>
  <bookViews>
    <workbookView xWindow="-120" yWindow="-120" windowWidth="20730" windowHeight="11040" firstSheet="4" activeTab="4" xr2:uid="{28DD5B76-0634-4F87-BE60-8BFA7EF2E23B}"/>
  </bookViews>
  <sheets>
    <sheet name="A̳ssets" sheetId="1" state="hidden" r:id="rId1"/>
    <sheet name="B̳ases" sheetId="2" state="hidden" r:id="rId2"/>
    <sheet name="Business question" sheetId="5" state="hidden" r:id="rId3"/>
    <sheet name="C̳álculos" sheetId="3" state="hidden" r:id="rId4"/>
    <sheet name="D̳ashboard" sheetId="4" r:id="rId5"/>
  </sheets>
  <definedNames>
    <definedName name="SegmentaçãodeDados_Auto_Renewal">#N/A</definedName>
    <definedName name="SegmentaçãodeDados_Meses">#N/A</definedName>
    <definedName name="SegmentaçãodeDados_Meses1">#N/A</definedName>
    <definedName name="SegmentaçãodeDados_Meses2">#N/A</definedName>
    <definedName name="SegmentaçãodeDados_Plan">#N/A</definedName>
    <definedName name="SegmentaçãodeDados_Subscription_Type">#N/A</definedName>
  </definedNames>
  <calcPr calcId="179021"/>
  <pivotCaches>
    <pivotCache cacheId="0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3" i="3" l="1"/>
  <c r="G49" i="3"/>
  <c r="E26" i="3"/>
</calcChain>
</file>

<file path=xl/sharedStrings.xml><?xml version="1.0" encoding="utf-8"?>
<sst xmlns="http://schemas.openxmlformats.org/spreadsheetml/2006/main" count="2071" uniqueCount="348">
  <si>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</si>
  <si>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</si>
  <si>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</si>
  <si>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</si>
  <si>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</si>
  <si>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</si>
  <si>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</si>
  <si>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</si>
  <si>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</si>
  <si>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</si>
  <si>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</si>
  <si>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</si>
  <si>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</si>
  <si>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</si>
  <si>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</si>
  <si>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</si>
  <si>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</si>
  <si>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</si>
  <si>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</si>
  <si>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</si>
  <si>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</si>
  <si>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</si>
  <si>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</si>
  <si>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</si>
  <si>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</si>
  <si>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</si>
  <si>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</si>
  <si>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</si>
  <si>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</si>
  <si>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</si>
  <si>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</si>
  <si>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</si>
  <si>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</si>
  <si>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</si>
  <si>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</si>
  <si>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</si>
  <si>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</si>
  <si>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</si>
  <si>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</si>
  <si>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</si>
  <si>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</si>
  <si>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</si>
  <si>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</si>
  <si>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</si>
  <si>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</si>
  <si>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</si>
  <si>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</si>
  <si>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</si>
  <si>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</si>
  <si>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</si>
  <si>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</si>
  <si>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</si>
  <si>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</si>
  <si>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</si>
  <si>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</si>
  <si>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</si>
  <si>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</si>
  <si>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</si>
  <si>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</si>
  <si>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</si>
  <si>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</si>
  <si>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</si>
  <si>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</si>
  <si>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</si>
  <si>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</si>
  <si>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</si>
  <si>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</si>
  <si>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</si>
  <si>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</si>
  <si>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</si>
  <si>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</si>
  <si>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</si>
  <si>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</si>
  <si>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</si>
  <si>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</si>
  <si>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</si>
  <si>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</si>
  <si>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</si>
  <si>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</si>
  <si>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</si>
  <si>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</si>
  <si>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</si>
  <si>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</si>
  <si>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</si>
  <si>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</si>
  <si>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</si>
  <si>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</si>
  <si>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</si>
  <si>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</si>
  <si>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</si>
  <si>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</si>
  <si>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</si>
  <si>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</si>
  <si>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</si>
  <si>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</si>
  <si>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</si>
  <si>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</si>
  <si>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</si>
  <si>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</si>
  <si>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</si>
  <si>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</si>
  <si>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</si>
  <si>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</si>
  <si>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</si>
  <si>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</si>
  <si>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</si>
  <si>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</si>
  <si>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</si>
  <si>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</si>
  <si>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</si>
  <si>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</si>
  <si>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</si>
  <si>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</si>
  <si>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</si>
  <si>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</si>
  <si>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</si>
  <si>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</si>
  <si>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</si>
  <si>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</si>
  <si>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</si>
  <si>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</si>
  <si>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</si>
  <si>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</si>
  <si>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</si>
  <si>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</si>
  <si>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</si>
  <si>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</si>
  <si>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</si>
  <si>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</si>
  <si>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</si>
  <si>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</si>
  <si>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</si>
  <si>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</si>
  <si>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</si>
  <si>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</si>
  <si>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</si>
  <si>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</si>
  <si>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</si>
  <si>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</si>
  <si>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</si>
  <si>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</si>
  <si>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</si>
  <si>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</si>
  <si>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</si>
  <si>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</si>
  <si>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</si>
  <si>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</si>
  <si>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</si>
  <si>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</si>
  <si>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</si>
  <si>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</si>
  <si>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</si>
  <si>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</si>
  <si>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</si>
  <si>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</si>
  <si>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</si>
  <si>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</si>
  <si>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</si>
  <si>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</si>
  <si>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</si>
  <si>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</si>
  <si>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</si>
  <si>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</si>
  <si>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</si>
  <si>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</si>
  <si>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</si>
  <si>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</si>
  <si>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</si>
  <si>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</si>
  <si>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</si>
  <si>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</si>
  <si>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</si>
  <si>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</si>
  <si>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</si>
  <si>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</si>
  <si>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</si>
  <si>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</si>
  <si>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</si>
  <si>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</si>
  <si>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</si>
  <si>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</si>
  <si>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</si>
  <si>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</si>
  <si>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</si>
  <si>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</si>
  <si>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</si>
  <si>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</si>
  <si>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</si>
  <si>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</si>
  <si>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</si>
  <si>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</si>
  <si>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</si>
  <si>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</si>
  <si>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</si>
  <si>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</si>
  <si>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</si>
  <si>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</si>
  <si>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</si>
  <si>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</si>
  <si>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</si>
  <si>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</si>
  <si>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</si>
  <si>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</si>
  <si>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</si>
  <si>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</si>
  <si>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</si>
  <si>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</si>
  <si>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</si>
  <si>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</si>
  <si>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</si>
  <si>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</si>
  <si>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</si>
  <si>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</si>
  <si>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</si>
  <si>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</si>
  <si>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</si>
  <si>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</si>
  <si>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</si>
  <si>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</si>
  <si>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</si>
  <si>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</si>
  <si>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</si>
  <si>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</si>
  <si>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</si>
  <si>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</si>
  <si>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</si>
  <si>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</si>
  <si>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</si>
  <si>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</si>
  <si>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</si>
  <si>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</si>
  <si>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</si>
  <si>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</si>
  <si>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</si>
  <si>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</si>
  <si>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</si>
  <si>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</si>
  <si>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</si>
  <si>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</si>
  <si>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</si>
  <si>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</si>
  <si>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</si>
  <si>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</si>
  <si>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</si>
  <si>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</si>
  <si>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</si>
  <si>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</si>
  <si>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</si>
  <si>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</si>
  <si>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</si>
  <si>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</si>
  <si>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</si>
  <si>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</si>
  <si>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</si>
  <si>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</si>
  <si>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</si>
  <si>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</si>
  <si>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</si>
  <si>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</si>
  <si>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</si>
  <si>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</si>
  <si>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</si>
  <si>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</si>
  <si>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</si>
  <si>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</si>
  <si>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</si>
  <si>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</si>
  <si>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</si>
  <si>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</si>
  <si>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</si>
  <si>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</si>
  <si>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</si>
  <si>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</si>
  <si>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</si>
  <si>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</si>
  <si>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</si>
  <si>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</si>
  <si>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</si>
  <si>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</si>
  <si>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</si>
  <si>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</si>
  <si>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</si>
  <si>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</si>
  <si>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</si>
  <si>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</si>
  <si>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</si>
  <si>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</si>
  <si>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</si>
  <si>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</si>
  <si>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</si>
  <si>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</si>
  <si>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</si>
  <si>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</si>
  <si>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</si>
  <si>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</si>
  <si>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</si>
  <si>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</si>
  <si>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</si>
  <si>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</si>
  <si>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</si>
  <si>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</si>
  <si>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</si>
  <si>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</si>
  <si>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</si>
  <si>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</si>
  <si>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</si>
  <si>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</si>
  <si>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</si>
  <si>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</si>
  <si>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</si>
  <si>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</si>
  <si>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</si>
  <si>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</si>
  <si>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1°</t>
  </si>
  <si>
    <t>2°</t>
  </si>
  <si>
    <t>3°</t>
  </si>
  <si>
    <t>4°</t>
  </si>
  <si>
    <t>Este desafio foi baseado nas seguintes regras para negócios: OKR's, KPI's, perguntas de negócios, Métricas.</t>
  </si>
  <si>
    <t>Rótulos de Linha</t>
  </si>
  <si>
    <t>Total Geral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</si>
  <si>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</si>
  <si>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</si>
  <si>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</si>
  <si>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</si>
  <si>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</si>
  <si>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</si>
  <si>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</si>
  <si>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</si>
  <si>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</si>
  <si>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</si>
  <si>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</si>
  <si>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</si>
  <si>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</si>
  <si>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r>
      <t xml:space="preserve">Faturamento do </t>
    </r>
    <r>
      <rPr>
        <b/>
        <u/>
        <sz val="11"/>
        <color theme="1"/>
        <rFont val="Aptos Narrow"/>
        <scheme val="minor"/>
      </rPr>
      <t>total de vendas em 2024, por mês</t>
    </r>
  </si>
  <si>
    <t>Total vendas em 2024</t>
  </si>
  <si>
    <t>Faturamento do total de vendas em 2024, por mês</t>
  </si>
  <si>
    <r>
      <rPr>
        <b/>
        <u/>
        <sz val="11"/>
        <color theme="1"/>
        <rFont val="Aptos Narrow"/>
        <scheme val="minor"/>
      </rPr>
      <t>Total de vendas em 2024</t>
    </r>
    <r>
      <rPr>
        <sz val="11"/>
        <color theme="1"/>
        <rFont val="Aptos Narrow"/>
        <scheme val="minor"/>
      </rPr>
      <t xml:space="preserve">, </t>
    </r>
    <r>
      <rPr>
        <b/>
        <u/>
        <sz val="11"/>
        <color theme="1"/>
        <rFont val="Aptos Narrow"/>
        <scheme val="minor"/>
      </rPr>
      <t>por mês</t>
    </r>
    <r>
      <rPr>
        <sz val="11"/>
        <color theme="1"/>
        <rFont val="Aptos Narrow"/>
        <scheme val="minor"/>
      </rPr>
      <t xml:space="preserve">, separados por </t>
    </r>
    <r>
      <rPr>
        <b/>
        <u/>
        <sz val="11"/>
        <color theme="1"/>
        <rFont val="Aptos Narrow"/>
        <scheme val="minor"/>
      </rPr>
      <t>auto renovação</t>
    </r>
    <r>
      <rPr>
        <sz val="11"/>
        <color theme="1"/>
        <rFont val="Aptos Narrow"/>
        <scheme val="minor"/>
      </rPr>
      <t xml:space="preserve"> e </t>
    </r>
    <r>
      <rPr>
        <b/>
        <u/>
        <sz val="11"/>
        <color theme="1"/>
        <rFont val="Aptos Narrow"/>
        <scheme val="minor"/>
      </rPr>
      <t>não auto renovação.</t>
    </r>
    <r>
      <rPr>
        <sz val="11"/>
        <color theme="1"/>
        <rFont val="Aptos Narrow"/>
        <scheme val="minor"/>
      </rPr>
      <t xml:space="preserve"> </t>
    </r>
  </si>
  <si>
    <t xml:space="preserve">Total de vendas em 2024, por mês, separados por auto renovação e não auto renovação. </t>
  </si>
  <si>
    <t>Rótulos de Coluna</t>
  </si>
  <si>
    <r>
      <rPr>
        <b/>
        <u/>
        <sz val="11"/>
        <color theme="1"/>
        <rFont val="Aptos Narrow"/>
        <scheme val="minor"/>
      </rPr>
      <t>Total de vendas em 2024</t>
    </r>
    <r>
      <rPr>
        <sz val="11"/>
        <color theme="1"/>
        <rFont val="Aptos Narrow"/>
        <family val="2"/>
        <scheme val="minor"/>
      </rPr>
      <t xml:space="preserve">, por </t>
    </r>
    <r>
      <rPr>
        <sz val="11"/>
        <color theme="1"/>
        <rFont val="Aptos Narrow"/>
        <scheme val="minor"/>
      </rPr>
      <t xml:space="preserve">tipos de </t>
    </r>
    <r>
      <rPr>
        <b/>
        <u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tipos de </t>
    </r>
    <r>
      <rPr>
        <b/>
        <u/>
        <sz val="11"/>
        <color theme="1"/>
        <rFont val="Aptos Narrow"/>
        <scheme val="minor"/>
      </rPr>
      <t>planos</t>
    </r>
    <r>
      <rPr>
        <sz val="11"/>
        <color theme="1"/>
        <rFont val="Aptos Narrow"/>
        <family val="2"/>
        <scheme val="minor"/>
      </rPr>
      <t xml:space="preserve">, e </t>
    </r>
    <r>
      <rPr>
        <b/>
        <u/>
        <sz val="11"/>
        <color theme="1"/>
        <rFont val="Aptos Narrow"/>
        <scheme val="minor"/>
      </rPr>
      <t>por mês.</t>
    </r>
  </si>
  <si>
    <t>Total de vendas em 2024, por tipos de planos anuais, tipos de planos, e por mês.</t>
  </si>
  <si>
    <t>Monthly Total</t>
  </si>
  <si>
    <t>Quarterly Total</t>
  </si>
  <si>
    <t>Total de vendas por mês -- Auto Renewal</t>
  </si>
  <si>
    <t>Faturamento mensal 2024</t>
  </si>
  <si>
    <t>Total de vendas por mês -- Subscription Types</t>
  </si>
  <si>
    <t>SUJESTÃO PARA ORGANIZAÇÂO DE CRIAÇÃO DE DASHBOARDS
Objetivo de facilitar manutenção e atualização dos dados/informação
A - Assets (recursos, imagens, vídeos, gifs, paletas de cores)
B - Bases (dados para gerar a dashboard principal ou outras medidas)
	Bussiness questions (Questionamentos para criação dos cálculos)
C - Cálculos (meio de campo que processa dados para transformar em informações)
D - Dashboards (painel visual)</t>
  </si>
  <si>
    <t>Business Questions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</si>
</sst>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26"/>
      <color theme="9" tint="-0.249977111117893"/>
      <name val="Sagoe UI"/>
    </font>
    <font>
      <b/>
      <sz val="11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6" fillId="9" borderId="2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2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44" fontId="0" fillId="0" borderId="0" xfId="0" applyNumberFormat="1"/>
    <xf numFmtId="164" fontId="0" fillId="0" borderId="0" xfId="0" applyNumberFormat="1"/>
    <xf numFmtId="0" fontId="5" fillId="0" borderId="0" xfId="0" applyFont="1"/>
    <xf numFmtId="0" fontId="4" fillId="0" borderId="0" xfId="0" applyFont="1"/>
    <xf numFmtId="0" fontId="0" fillId="8" borderId="0" xfId="0" applyFill="1"/>
    <xf numFmtId="44" fontId="0" fillId="0" borderId="0" xfId="2" applyFont="1"/>
    <xf numFmtId="0" fontId="0" fillId="10" borderId="0" xfId="0" applyFill="1"/>
    <xf numFmtId="0" fontId="7" fillId="10" borderId="0" xfId="0" applyFont="1" applyFill="1"/>
    <xf numFmtId="0" fontId="0" fillId="0" borderId="0" xfId="0" applyAlignment="1">
      <alignment wrapText="1"/>
    </xf>
  </cellXfs>
  <cellStyles count="4">
    <cellStyle name="Estilo 1" xfId="3" xr:uid="{E5BD0EDA-1944-4D27-8111-BAC219C55C9D}"/>
    <cellStyle name="Moeda" xfId="2" builtinId="4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XBOX finalizado.xlsx]C̳álculos!tbl_renovacao_yes_no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 Renewal -- Total de vendas mês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C̳álculos!$D$35:$D$36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C̳álculos!$C$37:$C$49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C̳álculos!$D$37:$D$49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62</c:v>
                </c:pt>
                <c:pt idx="2">
                  <c:v>433</c:v>
                </c:pt>
                <c:pt idx="3">
                  <c:v>399</c:v>
                </c:pt>
                <c:pt idx="4">
                  <c:v>388</c:v>
                </c:pt>
                <c:pt idx="5">
                  <c:v>379</c:v>
                </c:pt>
                <c:pt idx="6">
                  <c:v>388</c:v>
                </c:pt>
                <c:pt idx="7">
                  <c:v>384</c:v>
                </c:pt>
                <c:pt idx="8">
                  <c:v>384</c:v>
                </c:pt>
                <c:pt idx="9">
                  <c:v>433</c:v>
                </c:pt>
                <c:pt idx="10">
                  <c:v>384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2-4982-B38D-FD47DCF256C9}"/>
            </c:ext>
          </c:extLst>
        </c:ser>
        <c:ser>
          <c:idx val="1"/>
          <c:order val="1"/>
          <c:tx>
            <c:strRef>
              <c:f>C̳álculos!$E$35:$E$36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C̳álculos!$C$37:$C$49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C̳álculos!$E$37:$E$49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20</c:v>
                </c:pt>
                <c:pt idx="2">
                  <c:v>368</c:v>
                </c:pt>
                <c:pt idx="3">
                  <c:v>383</c:v>
                </c:pt>
                <c:pt idx="4">
                  <c:v>389</c:v>
                </c:pt>
                <c:pt idx="5">
                  <c:v>391</c:v>
                </c:pt>
                <c:pt idx="6">
                  <c:v>396</c:v>
                </c:pt>
                <c:pt idx="7">
                  <c:v>403</c:v>
                </c:pt>
                <c:pt idx="8">
                  <c:v>396</c:v>
                </c:pt>
                <c:pt idx="9">
                  <c:v>399</c:v>
                </c:pt>
                <c:pt idx="10">
                  <c:v>400</c:v>
                </c:pt>
                <c:pt idx="1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8B-40FB-BA85-4F78A8A479D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0738736"/>
        <c:axId val="850739064"/>
      </c:barChart>
      <c:catAx>
        <c:axId val="8507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739064"/>
        <c:crosses val="autoZero"/>
        <c:auto val="1"/>
        <c:lblAlgn val="ctr"/>
        <c:lblOffset val="100"/>
        <c:noMultiLvlLbl val="0"/>
      </c:catAx>
      <c:valAx>
        <c:axId val="8507390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07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XBOX finalizado.xlsx]C̳álculos!tbl_total_vendas_mes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mensal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C̳álculos!$C$14:$C$26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C̳álculos!$D$14:$D$26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5-471E-BE8C-5FD5D595D3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1624608"/>
        <c:axId val="681623624"/>
      </c:barChart>
      <c:catAx>
        <c:axId val="68162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1623624"/>
        <c:crosses val="autoZero"/>
        <c:auto val="1"/>
        <c:lblAlgn val="ctr"/>
        <c:lblOffset val="100"/>
        <c:noMultiLvlLbl val="0"/>
      </c:catAx>
      <c:valAx>
        <c:axId val="681623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16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XBOX finalizado.xlsx]C̳álculos!tbl_planos_planos_anuais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Subscription Types and Plan -- Total de vendas mês 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4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47000"/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65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65000"/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82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82000"/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83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83000"/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65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65000"/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48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48000"/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C̳álculos!$D$58:$D$60</c:f>
              <c:strCache>
                <c:ptCount val="1"/>
                <c:pt idx="0">
                  <c:v>Annual</c:v>
                </c:pt>
              </c:strCache>
            </c:strRef>
          </c:tx>
          <c:spPr>
            <a:ln w="22225" cap="rnd">
              <a:solidFill>
                <a:schemeClr val="accent6">
                  <a:shade val="47000"/>
                </a:schemeClr>
              </a:solidFill>
            </a:ln>
            <a:effectLst>
              <a:glow rad="139700">
                <a:schemeClr val="accent6">
                  <a:shade val="47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shade val="4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hade val="47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C̳álculos!$D$61:$D$73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2">
                  <c:v>138</c:v>
                </c:pt>
                <c:pt idx="3">
                  <c:v>182</c:v>
                </c:pt>
                <c:pt idx="4">
                  <c:v>187</c:v>
                </c:pt>
                <c:pt idx="5">
                  <c:v>130</c:v>
                </c:pt>
                <c:pt idx="6">
                  <c:v>182</c:v>
                </c:pt>
                <c:pt idx="7">
                  <c:v>242</c:v>
                </c:pt>
                <c:pt idx="8">
                  <c:v>182</c:v>
                </c:pt>
                <c:pt idx="9">
                  <c:v>182</c:v>
                </c:pt>
                <c:pt idx="10">
                  <c:v>229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F-4235-9774-4E0D4130A3CB}"/>
            </c:ext>
          </c:extLst>
        </c:ser>
        <c:ser>
          <c:idx val="1"/>
          <c:order val="1"/>
          <c:tx>
            <c:strRef>
              <c:f>C̳álculos!$E$58:$E$60</c:f>
              <c:strCache>
                <c:ptCount val="1"/>
                <c:pt idx="0">
                  <c:v>Monthly - Core</c:v>
                </c:pt>
              </c:strCache>
            </c:strRef>
          </c:tx>
          <c:spPr>
            <a:ln w="22225" cap="rnd">
              <a:solidFill>
                <a:schemeClr val="accent6">
                  <a:shade val="65000"/>
                </a:schemeClr>
              </a:solidFill>
            </a:ln>
            <a:effectLst>
              <a:glow rad="139700">
                <a:schemeClr val="accent6">
                  <a:shade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shade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hade val="65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C̳álculos!$E$61:$E$73</c:f>
              <c:numCache>
                <c:formatCode>_("R$"* #,##0.00_);_("R$"* \(#,##0.00\);_("R$"* "-"??_);_(@_)</c:formatCode>
                <c:ptCount val="12"/>
                <c:pt idx="2">
                  <c:v>23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24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20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BEF-4235-9774-4E0D4130A3CB}"/>
            </c:ext>
          </c:extLst>
        </c:ser>
        <c:ser>
          <c:idx val="2"/>
          <c:order val="2"/>
          <c:tx>
            <c:strRef>
              <c:f>C̳álculos!$F$58:$F$60</c:f>
              <c:strCache>
                <c:ptCount val="1"/>
                <c:pt idx="0">
                  <c:v>Monthly - Standard</c:v>
                </c:pt>
              </c:strCache>
            </c:strRef>
          </c:tx>
          <c:spPr>
            <a:ln w="22225" cap="rnd">
              <a:solidFill>
                <a:schemeClr val="accent6">
                  <a:shade val="82000"/>
                </a:schemeClr>
              </a:solidFill>
            </a:ln>
            <a:effectLst>
              <a:glow rad="139700">
                <a:schemeClr val="accent6">
                  <a:shade val="82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shade val="82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hade val="82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C̳álculos!$F$61:$F$73</c:f>
              <c:numCache>
                <c:formatCode>_("R$"* #,##0.00_);_("R$"* \(#,##0.00\);_("R$"* "-"??_);_(@_)</c:formatCode>
                <c:ptCount val="12"/>
                <c:pt idx="2">
                  <c:v>113</c:v>
                </c:pt>
                <c:pt idx="3">
                  <c:v>110</c:v>
                </c:pt>
                <c:pt idx="4">
                  <c:v>85</c:v>
                </c:pt>
                <c:pt idx="5">
                  <c:v>90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100</c:v>
                </c:pt>
                <c:pt idx="10">
                  <c:v>105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BEF-4235-9774-4E0D4130A3CB}"/>
            </c:ext>
          </c:extLst>
        </c:ser>
        <c:ser>
          <c:idx val="3"/>
          <c:order val="3"/>
          <c:tx>
            <c:strRef>
              <c:f>C̳álculos!$G$58:$G$60</c:f>
              <c:strCache>
                <c:ptCount val="1"/>
                <c:pt idx="0">
                  <c:v>Monthly - Ultimate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C̳álculos!$G$61:$G$73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301</c:v>
                </c:pt>
                <c:pt idx="3">
                  <c:v>217</c:v>
                </c:pt>
                <c:pt idx="4">
                  <c:v>217</c:v>
                </c:pt>
                <c:pt idx="5">
                  <c:v>265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314</c:v>
                </c:pt>
                <c:pt idx="10">
                  <c:v>207</c:v>
                </c:pt>
                <c:pt idx="11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BEF-4235-9774-4E0D4130A3CB}"/>
            </c:ext>
          </c:extLst>
        </c:ser>
        <c:ser>
          <c:idx val="4"/>
          <c:order val="4"/>
          <c:tx>
            <c:strRef>
              <c:f>C̳álculos!$I$58:$I$60</c:f>
              <c:strCache>
                <c:ptCount val="1"/>
                <c:pt idx="0">
                  <c:v>Quarterly - Core</c:v>
                </c:pt>
              </c:strCache>
            </c:strRef>
          </c:tx>
          <c:spPr>
            <a:ln w="22225" cap="rnd">
              <a:solidFill>
                <a:schemeClr val="accent6">
                  <a:tint val="83000"/>
                </a:schemeClr>
              </a:solidFill>
            </a:ln>
            <a:effectLst>
              <a:glow rad="139700">
                <a:schemeClr val="accent6">
                  <a:tint val="83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tint val="83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tint val="83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C̳álculos!$I$61:$I$73</c:f>
              <c:numCache>
                <c:formatCode>_("R$"* #,##0.00_);_("R$"* \(#,##0.00\);_("R$"* "-"??_);_(@_)</c:formatCode>
                <c:ptCount val="12"/>
                <c:pt idx="2">
                  <c:v>10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14</c:v>
                </c:pt>
                <c:pt idx="7">
                  <c:v>19</c:v>
                </c:pt>
                <c:pt idx="8">
                  <c:v>14</c:v>
                </c:pt>
                <c:pt idx="9">
                  <c:v>10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BEF-4235-9774-4E0D4130A3CB}"/>
            </c:ext>
          </c:extLst>
        </c:ser>
        <c:ser>
          <c:idx val="5"/>
          <c:order val="5"/>
          <c:tx>
            <c:strRef>
              <c:f>C̳álculos!$J$58:$J$60</c:f>
              <c:strCache>
                <c:ptCount val="1"/>
                <c:pt idx="0">
                  <c:v>Quarterly - Standard</c:v>
                </c:pt>
              </c:strCache>
            </c:strRef>
          </c:tx>
          <c:spPr>
            <a:ln w="22225" cap="rnd">
              <a:solidFill>
                <a:schemeClr val="accent6">
                  <a:tint val="65000"/>
                </a:schemeClr>
              </a:solidFill>
            </a:ln>
            <a:effectLst>
              <a:glow rad="139700">
                <a:schemeClr val="accent6">
                  <a:tint val="65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tint val="65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tint val="65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C̳álculos!$J$61:$J$73</c:f>
              <c:numCache>
                <c:formatCode>_("R$"* #,##0.00_);_("R$"* \(#,##0.00\);_("R$"* "-"??_);_(@_)</c:formatCode>
                <c:ptCount val="12"/>
                <c:pt idx="1">
                  <c:v>20</c:v>
                </c:pt>
                <c:pt idx="2">
                  <c:v>45</c:v>
                </c:pt>
                <c:pt idx="3">
                  <c:v>33</c:v>
                </c:pt>
                <c:pt idx="4">
                  <c:v>48</c:v>
                </c:pt>
                <c:pt idx="5">
                  <c:v>51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48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3BEF-4235-9774-4E0D4130A3CB}"/>
            </c:ext>
          </c:extLst>
        </c:ser>
        <c:ser>
          <c:idx val="6"/>
          <c:order val="6"/>
          <c:tx>
            <c:strRef>
              <c:f>C̳álculos!$K$58:$K$60</c:f>
              <c:strCache>
                <c:ptCount val="1"/>
                <c:pt idx="0">
                  <c:v>Quarterly - Ultimate</c:v>
                </c:pt>
              </c:strCache>
            </c:strRef>
          </c:tx>
          <c:spPr>
            <a:ln w="22225" cap="rnd">
              <a:solidFill>
                <a:schemeClr val="accent6">
                  <a:tint val="48000"/>
                </a:schemeClr>
              </a:solidFill>
            </a:ln>
            <a:effectLst>
              <a:glow rad="139700">
                <a:schemeClr val="accent6">
                  <a:tint val="48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tint val="48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tint val="48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C̳álculos!$K$61:$K$73</c:f>
              <c:numCache>
                <c:formatCode>_("R$"* #,##0.00_);_("R$"* \(#,##0.00\);_("R$"* "-"??_);_(@_)</c:formatCode>
                <c:ptCount val="12"/>
                <c:pt idx="2">
                  <c:v>171</c:v>
                </c:pt>
                <c:pt idx="3">
                  <c:v>206</c:v>
                </c:pt>
                <c:pt idx="4">
                  <c:v>206</c:v>
                </c:pt>
                <c:pt idx="5">
                  <c:v>206</c:v>
                </c:pt>
                <c:pt idx="6">
                  <c:v>219</c:v>
                </c:pt>
                <c:pt idx="7">
                  <c:v>161</c:v>
                </c:pt>
                <c:pt idx="8">
                  <c:v>219</c:v>
                </c:pt>
                <c:pt idx="9">
                  <c:v>174</c:v>
                </c:pt>
                <c:pt idx="10">
                  <c:v>161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BEF-4235-9774-4E0D4130A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393848"/>
        <c:axId val="787387288"/>
      </c:lineChart>
      <c:catAx>
        <c:axId val="787393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387288"/>
        <c:crosses val="autoZero"/>
        <c:auto val="1"/>
        <c:lblAlgn val="ctr"/>
        <c:lblOffset val="100"/>
        <c:noMultiLvlLbl val="0"/>
      </c:catAx>
      <c:valAx>
        <c:axId val="787387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39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XBOX finalizado.xlsx]C̳álculos!tbl_renovacao_yes_no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aseline="0"/>
              <a:t>Auto Renewal -- Total de vendas mês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540113871635608E-2"/>
          <c:y val="0.15315302708614811"/>
          <c:w val="0.97340847135955832"/>
          <c:h val="0.79945940294666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C̳álculos!$D$35:$D$36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C̳álculos!$C$37:$C$49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C̳álculos!$D$37:$D$49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1">
                  <c:v>62</c:v>
                </c:pt>
                <c:pt idx="2">
                  <c:v>433</c:v>
                </c:pt>
                <c:pt idx="3">
                  <c:v>399</c:v>
                </c:pt>
                <c:pt idx="4">
                  <c:v>388</c:v>
                </c:pt>
                <c:pt idx="5">
                  <c:v>379</c:v>
                </c:pt>
                <c:pt idx="6">
                  <c:v>388</c:v>
                </c:pt>
                <c:pt idx="7">
                  <c:v>384</c:v>
                </c:pt>
                <c:pt idx="8">
                  <c:v>384</c:v>
                </c:pt>
                <c:pt idx="9">
                  <c:v>433</c:v>
                </c:pt>
                <c:pt idx="10">
                  <c:v>384</c:v>
                </c:pt>
                <c:pt idx="1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2-4AF1-BAB4-8227AA3D4924}"/>
            </c:ext>
          </c:extLst>
        </c:ser>
        <c:ser>
          <c:idx val="1"/>
          <c:order val="1"/>
          <c:tx>
            <c:strRef>
              <c:f>C̳álculos!$E$35:$E$36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C̳álculos!$C$37:$C$49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C̳álculos!$E$37:$E$49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20</c:v>
                </c:pt>
                <c:pt idx="2">
                  <c:v>368</c:v>
                </c:pt>
                <c:pt idx="3">
                  <c:v>383</c:v>
                </c:pt>
                <c:pt idx="4">
                  <c:v>389</c:v>
                </c:pt>
                <c:pt idx="5">
                  <c:v>391</c:v>
                </c:pt>
                <c:pt idx="6">
                  <c:v>396</c:v>
                </c:pt>
                <c:pt idx="7">
                  <c:v>403</c:v>
                </c:pt>
                <c:pt idx="8">
                  <c:v>396</c:v>
                </c:pt>
                <c:pt idx="9">
                  <c:v>399</c:v>
                </c:pt>
                <c:pt idx="10">
                  <c:v>400</c:v>
                </c:pt>
                <c:pt idx="1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92-4AF1-BAB4-8227AA3D49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0738736"/>
        <c:axId val="850739064"/>
      </c:barChart>
      <c:catAx>
        <c:axId val="85073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739064"/>
        <c:crosses val="autoZero"/>
        <c:auto val="1"/>
        <c:lblAlgn val="ctr"/>
        <c:lblOffset val="100"/>
        <c:noMultiLvlLbl val="0"/>
      </c:catAx>
      <c:valAx>
        <c:axId val="8507390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073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"/>
          <c:y val="4.7767001222415235E-2"/>
          <c:w val="9.232651828847481E-2"/>
          <c:h val="0.1057112526539278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XBOX finalizado.xlsx]C̳álculos!tbl_total_vendas_mes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aseline="0"/>
              <a:t>Faturamento mensal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72000" rIns="38100" bIns="7200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9374632456300851E-2"/>
          <c:y val="8.9012685755829629E-2"/>
          <c:w val="0.7561542245926749"/>
          <c:h val="0.861792837113946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72000" rIns="38100" bIns="7200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C̳álculos!$C$14:$C$26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C̳álculos!$D$14:$D$26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C8D-8511-C9DD7393D7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681624608"/>
        <c:axId val="681623624"/>
      </c:barChart>
      <c:catAx>
        <c:axId val="681624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1623624"/>
        <c:crosses val="autoZero"/>
        <c:auto val="1"/>
        <c:lblAlgn val="ctr"/>
        <c:lblOffset val="100"/>
        <c:noMultiLvlLbl val="0"/>
      </c:catAx>
      <c:valAx>
        <c:axId val="681623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16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XBOX finalizado.xlsx]C̳álculos!tbl_planos_planos_anuais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/>
              <a:t>Subscription Types and Plan -- Total de vendas mês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</c:marker>
      </c:pivotFmt>
      <c:pivotFmt>
        <c:idx val="15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>
                <a:tint val="48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783840668303189E-2"/>
          <c:y val="8.1721062754150489E-2"/>
          <c:w val="0.83402422460725745"/>
          <c:h val="0.87311430797329292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C̳álculos!$D$58:$D$60</c:f>
              <c:strCache>
                <c:ptCount val="1"/>
                <c:pt idx="0">
                  <c:v>Annual</c:v>
                </c:pt>
              </c:strCache>
            </c:strRef>
          </c:tx>
          <c:spPr>
            <a:ln w="31750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shade val="47000"/>
                </a:schemeClr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C̳álculos!$D$61:$D$73</c:f>
              <c:numCache>
                <c:formatCode>_("R$"* #,##0.00_);_("R$"* \(#,##0.00\);_("R$"* "-"??_);_(@_)</c:formatCode>
                <c:ptCount val="12"/>
                <c:pt idx="0">
                  <c:v>5</c:v>
                </c:pt>
                <c:pt idx="2">
                  <c:v>138</c:v>
                </c:pt>
                <c:pt idx="3">
                  <c:v>182</c:v>
                </c:pt>
                <c:pt idx="4">
                  <c:v>187</c:v>
                </c:pt>
                <c:pt idx="5">
                  <c:v>130</c:v>
                </c:pt>
                <c:pt idx="6">
                  <c:v>182</c:v>
                </c:pt>
                <c:pt idx="7">
                  <c:v>242</c:v>
                </c:pt>
                <c:pt idx="8">
                  <c:v>182</c:v>
                </c:pt>
                <c:pt idx="9">
                  <c:v>182</c:v>
                </c:pt>
                <c:pt idx="10">
                  <c:v>229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3-43FE-9742-ACDA1FE32441}"/>
            </c:ext>
          </c:extLst>
        </c:ser>
        <c:ser>
          <c:idx val="1"/>
          <c:order val="1"/>
          <c:tx>
            <c:strRef>
              <c:f>C̳álculos!$E$58:$E$60</c:f>
              <c:strCache>
                <c:ptCount val="1"/>
                <c:pt idx="0">
                  <c:v>Monthly - Core</c:v>
                </c:pt>
              </c:strCache>
            </c:strRef>
          </c:tx>
          <c:spPr>
            <a:ln w="31750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shade val="6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C̳álculos!$E$61:$E$73</c:f>
              <c:numCache>
                <c:formatCode>_("R$"* #,##0.00_);_("R$"* \(#,##0.00\);_("R$"* "-"??_);_(@_)</c:formatCode>
                <c:ptCount val="12"/>
                <c:pt idx="2">
                  <c:v>23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24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20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0E3-43FE-9742-ACDA1FE32441}"/>
            </c:ext>
          </c:extLst>
        </c:ser>
        <c:ser>
          <c:idx val="2"/>
          <c:order val="2"/>
          <c:tx>
            <c:strRef>
              <c:f>C̳álculos!$F$58:$F$60</c:f>
              <c:strCache>
                <c:ptCount val="1"/>
                <c:pt idx="0">
                  <c:v>Monthly - Standard</c:v>
                </c:pt>
              </c:strCache>
            </c:strRef>
          </c:tx>
          <c:spPr>
            <a:ln w="31750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shade val="82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C̳álculos!$F$61:$F$73</c:f>
              <c:numCache>
                <c:formatCode>_("R$"* #,##0.00_);_("R$"* \(#,##0.00\);_("R$"* "-"??_);_(@_)</c:formatCode>
                <c:ptCount val="12"/>
                <c:pt idx="2">
                  <c:v>113</c:v>
                </c:pt>
                <c:pt idx="3">
                  <c:v>110</c:v>
                </c:pt>
                <c:pt idx="4">
                  <c:v>85</c:v>
                </c:pt>
                <c:pt idx="5">
                  <c:v>90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100</c:v>
                </c:pt>
                <c:pt idx="10">
                  <c:v>105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0E3-43FE-9742-ACDA1FE32441}"/>
            </c:ext>
          </c:extLst>
        </c:ser>
        <c:ser>
          <c:idx val="3"/>
          <c:order val="3"/>
          <c:tx>
            <c:strRef>
              <c:f>C̳álculos!$G$58:$G$60</c:f>
              <c:strCache>
                <c:ptCount val="1"/>
                <c:pt idx="0">
                  <c:v>Monthly - Ultimate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C̳álculos!$G$61:$G$73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301</c:v>
                </c:pt>
                <c:pt idx="3">
                  <c:v>217</c:v>
                </c:pt>
                <c:pt idx="4">
                  <c:v>217</c:v>
                </c:pt>
                <c:pt idx="5">
                  <c:v>265</c:v>
                </c:pt>
                <c:pt idx="6">
                  <c:v>207</c:v>
                </c:pt>
                <c:pt idx="7">
                  <c:v>207</c:v>
                </c:pt>
                <c:pt idx="8">
                  <c:v>207</c:v>
                </c:pt>
                <c:pt idx="9">
                  <c:v>314</c:v>
                </c:pt>
                <c:pt idx="10">
                  <c:v>207</c:v>
                </c:pt>
                <c:pt idx="11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0E3-43FE-9742-ACDA1FE32441}"/>
            </c:ext>
          </c:extLst>
        </c:ser>
        <c:ser>
          <c:idx val="4"/>
          <c:order val="4"/>
          <c:tx>
            <c:strRef>
              <c:f>C̳álculos!$I$58:$I$60</c:f>
              <c:strCache>
                <c:ptCount val="1"/>
                <c:pt idx="0">
                  <c:v>Quarterly - Core</c:v>
                </c:pt>
              </c:strCache>
            </c:strRef>
          </c:tx>
          <c:spPr>
            <a:ln w="31750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tint val="83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C̳álculos!$I$61:$I$73</c:f>
              <c:numCache>
                <c:formatCode>_("R$"* #,##0.00_);_("R$"* \(#,##0.00\);_("R$"* "-"??_);_(@_)</c:formatCode>
                <c:ptCount val="12"/>
                <c:pt idx="2">
                  <c:v>10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14</c:v>
                </c:pt>
                <c:pt idx="7">
                  <c:v>19</c:v>
                </c:pt>
                <c:pt idx="8">
                  <c:v>14</c:v>
                </c:pt>
                <c:pt idx="9">
                  <c:v>10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0E3-43FE-9742-ACDA1FE32441}"/>
            </c:ext>
          </c:extLst>
        </c:ser>
        <c:ser>
          <c:idx val="5"/>
          <c:order val="5"/>
          <c:tx>
            <c:strRef>
              <c:f>C̳álculos!$J$58:$J$60</c:f>
              <c:strCache>
                <c:ptCount val="1"/>
                <c:pt idx="0">
                  <c:v>Quarterly - Standard</c:v>
                </c:pt>
              </c:strCache>
            </c:strRef>
          </c:tx>
          <c:spPr>
            <a:ln w="31750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tint val="6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C̳álculos!$J$61:$J$73</c:f>
              <c:numCache>
                <c:formatCode>_("R$"* #,##0.00_);_("R$"* \(#,##0.00\);_("R$"* "-"??_);_(@_)</c:formatCode>
                <c:ptCount val="12"/>
                <c:pt idx="1">
                  <c:v>20</c:v>
                </c:pt>
                <c:pt idx="2">
                  <c:v>45</c:v>
                </c:pt>
                <c:pt idx="3">
                  <c:v>33</c:v>
                </c:pt>
                <c:pt idx="4">
                  <c:v>48</c:v>
                </c:pt>
                <c:pt idx="5">
                  <c:v>51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48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0E3-43FE-9742-ACDA1FE32441}"/>
            </c:ext>
          </c:extLst>
        </c:ser>
        <c:ser>
          <c:idx val="6"/>
          <c:order val="6"/>
          <c:tx>
            <c:strRef>
              <c:f>C̳álculos!$K$58:$K$60</c:f>
              <c:strCache>
                <c:ptCount val="1"/>
                <c:pt idx="0">
                  <c:v>Quarterly - Ultimate</c:v>
                </c:pt>
              </c:strCache>
            </c:strRef>
          </c:tx>
          <c:spPr>
            <a:ln w="31750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tint val="48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C̳álculos!$C$61:$C$73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C̳álculos!$K$61:$K$73</c:f>
              <c:numCache>
                <c:formatCode>_("R$"* #,##0.00_);_("R$"* \(#,##0.00\);_("R$"* "-"??_);_(@_)</c:formatCode>
                <c:ptCount val="12"/>
                <c:pt idx="2">
                  <c:v>171</c:v>
                </c:pt>
                <c:pt idx="3">
                  <c:v>206</c:v>
                </c:pt>
                <c:pt idx="4">
                  <c:v>206</c:v>
                </c:pt>
                <c:pt idx="5">
                  <c:v>206</c:v>
                </c:pt>
                <c:pt idx="6">
                  <c:v>219</c:v>
                </c:pt>
                <c:pt idx="7">
                  <c:v>161</c:v>
                </c:pt>
                <c:pt idx="8">
                  <c:v>219</c:v>
                </c:pt>
                <c:pt idx="9">
                  <c:v>174</c:v>
                </c:pt>
                <c:pt idx="10">
                  <c:v>161</c:v>
                </c:pt>
                <c:pt idx="11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0E3-43FE-9742-ACDA1FE3244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393848"/>
        <c:axId val="787387288"/>
      </c:lineChart>
      <c:catAx>
        <c:axId val="78739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387288"/>
        <c:crosses val="autoZero"/>
        <c:auto val="1"/>
        <c:lblAlgn val="ctr"/>
        <c:lblOffset val="100"/>
        <c:noMultiLvlLbl val="0"/>
      </c:catAx>
      <c:valAx>
        <c:axId val="787387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8739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80806527556052"/>
          <c:y val="0.29768739339974443"/>
          <c:w val="0.14776438526900137"/>
          <c:h val="0.3545801586398826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428625</xdr:colOff>
      <xdr:row>32</xdr:row>
      <xdr:rowOff>9525</xdr:rowOff>
    </xdr:from>
    <xdr:to>
      <xdr:col>16</xdr:col>
      <xdr:colOff>1952624</xdr:colOff>
      <xdr:row>49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27B8CF-35AA-4ED0-BAB8-073DAEF85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628649</xdr:colOff>
      <xdr:row>8</xdr:row>
      <xdr:rowOff>152400</xdr:rowOff>
    </xdr:from>
    <xdr:to>
      <xdr:col>14</xdr:col>
      <xdr:colOff>361949</xdr:colOff>
      <xdr:row>27</xdr:row>
      <xdr:rowOff>66674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E8FD06-A660-4EAD-BB0F-46ADCB8E8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1047750</xdr:colOff>
      <xdr:row>74</xdr:row>
      <xdr:rowOff>71437</xdr:rowOff>
    </xdr:from>
    <xdr:to>
      <xdr:col>14</xdr:col>
      <xdr:colOff>952500</xdr:colOff>
      <xdr:row>95</xdr:row>
      <xdr:rowOff>152400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E212C8-C192-4A47-A7F6-FE24700BF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628650</xdr:colOff>
      <xdr:row>8</xdr:row>
      <xdr:rowOff>152400</xdr:rowOff>
    </xdr:from>
    <xdr:to>
      <xdr:col>7</xdr:col>
      <xdr:colOff>628650</xdr:colOff>
      <xdr:row>27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Meses">
              <a:extLst>
                <a:ext uri="{FF2B5EF4-FFF2-40B4-BE49-F238E27FC236}">
                  <a16:creationId xmlns:a16="http://schemas.microsoft.com/office/drawing/2014/main" id="{10A74792-AF14-403F-9EE2-4F85E9E6C5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5300" y="1600200"/>
              <a:ext cx="1828800" cy="335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190500</xdr:colOff>
      <xdr:row>31</xdr:row>
      <xdr:rowOff>47624</xdr:rowOff>
    </xdr:from>
    <xdr:to>
      <xdr:col>10</xdr:col>
      <xdr:colOff>491325</xdr:colOff>
      <xdr:row>54</xdr:row>
      <xdr:rowOff>32399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eses 1">
              <a:extLst>
                <a:ext uri="{FF2B5EF4-FFF2-40B4-BE49-F238E27FC236}">
                  <a16:creationId xmlns:a16="http://schemas.microsoft.com/office/drawing/2014/main" id="{D7E2A19F-689F-466A-9005-69A704266A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6550" y="5657849"/>
              <a:ext cx="1929600" cy="414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133350</xdr:colOff>
      <xdr:row>34</xdr:row>
      <xdr:rowOff>119174</xdr:rowOff>
    </xdr:from>
    <xdr:to>
      <xdr:col>8</xdr:col>
      <xdr:colOff>157950</xdr:colOff>
      <xdr:row>39</xdr:row>
      <xdr:rowOff>114299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Auto Renewal">
              <a:extLst>
                <a:ext uri="{FF2B5EF4-FFF2-40B4-BE49-F238E27FC236}">
                  <a16:creationId xmlns:a16="http://schemas.microsoft.com/office/drawing/2014/main" id="{9BA96534-DAEE-49B6-BEFF-7834787355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4400" y="6272324"/>
              <a:ext cx="1929600" cy="9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480225</xdr:colOff>
      <xdr:row>78</xdr:row>
      <xdr:rowOff>72375</xdr:rowOff>
    </xdr:from>
    <xdr:to>
      <xdr:col>2</xdr:col>
      <xdr:colOff>2409825</xdr:colOff>
      <xdr:row>84</xdr:row>
      <xdr:rowOff>174525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Plan">
              <a:extLst>
                <a:ext uri="{FF2B5EF4-FFF2-40B4-BE49-F238E27FC236}">
                  <a16:creationId xmlns:a16="http://schemas.microsoft.com/office/drawing/2014/main" id="{6EA97DFA-FC90-46AB-90C6-2C061EBAE9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0450" y="14188425"/>
              <a:ext cx="1929600" cy="11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480225</xdr:colOff>
      <xdr:row>85</xdr:row>
      <xdr:rowOff>0</xdr:rowOff>
    </xdr:from>
    <xdr:to>
      <xdr:col>2</xdr:col>
      <xdr:colOff>2409825</xdr:colOff>
      <xdr:row>91</xdr:row>
      <xdr:rowOff>102150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Subscription Type">
              <a:extLst>
                <a:ext uri="{FF2B5EF4-FFF2-40B4-BE49-F238E27FC236}">
                  <a16:creationId xmlns:a16="http://schemas.microsoft.com/office/drawing/2014/main" id="{341BB56B-4EBC-413C-B41C-CE141D2CEE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0450" y="15382875"/>
              <a:ext cx="1929600" cy="11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2409825</xdr:colOff>
      <xdr:row>78</xdr:row>
      <xdr:rowOff>72375</xdr:rowOff>
    </xdr:from>
    <xdr:to>
      <xdr:col>3</xdr:col>
      <xdr:colOff>1053300</xdr:colOff>
      <xdr:row>101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Meses 3">
              <a:extLst>
                <a:ext uri="{FF2B5EF4-FFF2-40B4-BE49-F238E27FC236}">
                  <a16:creationId xmlns:a16="http://schemas.microsoft.com/office/drawing/2014/main" id="{88E8577E-5711-419C-B3B4-4F4C9F2A98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0050" y="14188425"/>
              <a:ext cx="1929600" cy="414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95250</xdr:rowOff>
    </xdr:from>
    <xdr:to>
      <xdr:col>3</xdr:col>
      <xdr:colOff>595312</xdr:colOff>
      <xdr:row>0</xdr:row>
      <xdr:rowOff>950198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BD8D18-4886-4C14-B5FA-F2D3DF620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3262312" cy="854948"/>
        </a:xfrm>
        <a:prstGeom prst="rect">
          <a:avLst/>
        </a:prstGeom>
      </xdr:spPr>
    </xdr:pic>
    <xdr:clientData/>
  </xdr:twoCellAnchor>
  <xdr:twoCellAnchor>
    <xdr:from>
      <xdr:col>3</xdr:col>
      <xdr:colOff>38610</xdr:colOff>
      <xdr:row>41</xdr:row>
      <xdr:rowOff>158572</xdr:rowOff>
    </xdr:from>
    <xdr:to>
      <xdr:col>23</xdr:col>
      <xdr:colOff>57172</xdr:colOff>
      <xdr:row>80</xdr:row>
      <xdr:rowOff>140573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1046D534-9741-4B6E-BC50-8E45527F8693}"/>
            </a:ext>
          </a:extLst>
        </xdr:cNvPr>
        <xdr:cNvGrpSpPr/>
      </xdr:nvGrpSpPr>
      <xdr:grpSpPr>
        <a:xfrm>
          <a:off x="2800860" y="8445322"/>
          <a:ext cx="14294156" cy="6947157"/>
          <a:chOff x="0" y="8453438"/>
          <a:chExt cx="14056032" cy="6947157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32BEC48D-75E5-490F-93D2-DC87605854E2}"/>
              </a:ext>
            </a:extLst>
          </xdr:cNvPr>
          <xdr:cNvSpPr>
            <a:spLocks noChangeAspect="1"/>
          </xdr:cNvSpPr>
        </xdr:nvSpPr>
        <xdr:spPr>
          <a:xfrm>
            <a:off x="0" y="8453438"/>
            <a:ext cx="14056032" cy="6947157"/>
          </a:xfrm>
          <a:prstGeom prst="round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endParaRPr lang="pt-BR" sz="1100"/>
          </a:p>
        </xdr:txBody>
      </xdr:sp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F3B6BB73-4DC0-4D5B-BE39-F9D2DED69CF4}"/>
              </a:ext>
            </a:extLst>
          </xdr:cNvPr>
          <xdr:cNvGraphicFramePr>
            <a:graphicFrameLocks/>
          </xdr:cNvGraphicFramePr>
        </xdr:nvGraphicFramePr>
        <xdr:xfrm>
          <a:off x="2083592" y="8805863"/>
          <a:ext cx="11592000" cy="6217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2" name="Meses 2">
                <a:extLst>
                  <a:ext uri="{FF2B5EF4-FFF2-40B4-BE49-F238E27FC236}">
                    <a16:creationId xmlns:a16="http://schemas.microsoft.com/office/drawing/2014/main" id="{E5CDBAB0-32C9-4ACF-A0E4-9E5A5B8ACCF5}"/>
                  </a:ext>
                </a:extLst>
              </xdr:cNvPr>
              <xdr:cNvGraphicFramePr/>
            </xdr:nvGraphicFramePr>
            <xdr:xfrm>
              <a:off x="108499" y="10294032"/>
              <a:ext cx="1929600" cy="4147200"/>
            </xdr:xfrm>
            <a:graphic>
              <a:graphicData uri="http://schemas.microsoft.com/office/drawing/2010/slicer">
                <sle:slicer xmlns:sle="http://schemas.microsoft.com/office/drawing/2010/slicer" name="Meses 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11197" y="10285916"/>
                <a:ext cx="1962289" cy="4147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3" name="Auto Renewal 1">
                <a:extLst>
                  <a:ext uri="{FF2B5EF4-FFF2-40B4-BE49-F238E27FC236}">
                    <a16:creationId xmlns:a16="http://schemas.microsoft.com/office/drawing/2014/main" id="{544ECD4C-CDC8-412C-8E69-BFDBDBE264C5}"/>
                  </a:ext>
                </a:extLst>
              </xdr:cNvPr>
              <xdr:cNvGraphicFramePr/>
            </xdr:nvGraphicFramePr>
            <xdr:xfrm>
              <a:off x="108499" y="9394032"/>
              <a:ext cx="1929600" cy="900000"/>
            </xdr:xfrm>
            <a:graphic>
              <a:graphicData uri="http://schemas.microsoft.com/office/drawing/2010/slicer">
                <sle:slicer xmlns:sle="http://schemas.microsoft.com/office/drawing/2010/slicer" name="Auto Renewal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11197" y="9385916"/>
                <a:ext cx="1962289" cy="900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43303D8F-5790-403A-8AEC-0585781A1A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690937" y="8893968"/>
            <a:ext cx="1652997" cy="433198"/>
          </a:xfrm>
          <a:prstGeom prst="rect">
            <a:avLst/>
          </a:prstGeom>
        </xdr:spPr>
      </xdr:pic>
      <xdr:sp macro="" textlink="C̳álculos!G49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CED52582-2850-46E0-BF96-5584B0BC4BAF}"/>
              </a:ext>
            </a:extLst>
          </xdr:cNvPr>
          <xdr:cNvSpPr/>
        </xdr:nvSpPr>
        <xdr:spPr>
          <a:xfrm>
            <a:off x="10965655" y="8822533"/>
            <a:ext cx="2702720" cy="127396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fld id="{58D888D5-8B4C-4F31-A9CA-1197D320D32C}" type="TxLink">
              <a:rPr lang="en-US" sz="3000" b="0" i="0" u="none" strike="noStrike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R$ 7.633,00 </a:t>
            </a:fld>
            <a:endParaRPr lang="pt-BR" sz="3000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38610</xdr:colOff>
      <xdr:row>1</xdr:row>
      <xdr:rowOff>21510</xdr:rowOff>
    </xdr:from>
    <xdr:to>
      <xdr:col>23</xdr:col>
      <xdr:colOff>57172</xdr:colOff>
      <xdr:row>39</xdr:row>
      <xdr:rowOff>51135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E2B64F9A-9C60-431C-8DB5-08FA0FCC762B}"/>
            </a:ext>
          </a:extLst>
        </xdr:cNvPr>
        <xdr:cNvGrpSpPr/>
      </xdr:nvGrpSpPr>
      <xdr:grpSpPr>
        <a:xfrm>
          <a:off x="2800860" y="997823"/>
          <a:ext cx="14294156" cy="6982875"/>
          <a:chOff x="275908" y="976313"/>
          <a:chExt cx="14056032" cy="6947157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67B05217-64E7-4242-B84E-879D4AD2527A}"/>
              </a:ext>
            </a:extLst>
          </xdr:cNvPr>
          <xdr:cNvSpPr>
            <a:spLocks noChangeAspect="1"/>
          </xdr:cNvSpPr>
        </xdr:nvSpPr>
        <xdr:spPr>
          <a:xfrm>
            <a:off x="275908" y="976313"/>
            <a:ext cx="14056032" cy="6947157"/>
          </a:xfrm>
          <a:prstGeom prst="round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E4067123-3B4D-4646-A557-D8E47384772F}"/>
              </a:ext>
            </a:extLst>
          </xdr:cNvPr>
          <xdr:cNvGraphicFramePr>
            <a:graphicFrameLocks noChangeAspect="1"/>
          </xdr:cNvGraphicFramePr>
        </xdr:nvGraphicFramePr>
        <xdr:xfrm>
          <a:off x="2348938" y="1327003"/>
          <a:ext cx="11592159" cy="62158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" name="Faturamento Mensal 2024">
                <a:extLst>
                  <a:ext uri="{FF2B5EF4-FFF2-40B4-BE49-F238E27FC236}">
                    <a16:creationId xmlns:a16="http://schemas.microsoft.com/office/drawing/2014/main" id="{19F9EED1-5054-49EF-8CF6-771BF576BCC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44374" y="2318610"/>
              <a:ext cx="1930621" cy="4147821"/>
            </xdr:xfrm>
            <a:graphic>
              <a:graphicData uri="http://schemas.microsoft.com/office/drawing/2010/slicer">
                <sle:slicer xmlns:sle="http://schemas.microsoft.com/office/drawing/2010/slicer" name="Faturamento Mensal 202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870486" y="2347021"/>
                <a:ext cx="1963328" cy="416914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C̳álculos!E2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D0A65A2-9040-4FCB-AA55-0A0354A34C10}"/>
              </a:ext>
            </a:extLst>
          </xdr:cNvPr>
          <xdr:cNvSpPr/>
        </xdr:nvSpPr>
        <xdr:spPr>
          <a:xfrm>
            <a:off x="11238377" y="1440657"/>
            <a:ext cx="2702720" cy="127396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fld id="{3BFF87E1-4E6F-4B57-9E8F-34B258A64B8F}" type="TxLink">
              <a:rPr lang="en-US" sz="3000" b="0" i="0" u="none" strike="noStrike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R$ 7.633,00 </a:t>
            </a:fld>
            <a:endParaRPr lang="pt-BR" sz="3000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9F67A7F0-A53A-4202-8B0A-BAE5CC16E5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585970" y="1381126"/>
            <a:ext cx="1652997" cy="433198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38610</xdr:colOff>
      <xdr:row>83</xdr:row>
      <xdr:rowOff>128666</xdr:rowOff>
    </xdr:from>
    <xdr:to>
      <xdr:col>23</xdr:col>
      <xdr:colOff>57172</xdr:colOff>
      <xdr:row>130</xdr:row>
      <xdr:rowOff>128667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545B26C9-7C5C-483C-B4ED-171C938C9B75}"/>
            </a:ext>
          </a:extLst>
        </xdr:cNvPr>
        <xdr:cNvGrpSpPr/>
      </xdr:nvGrpSpPr>
      <xdr:grpSpPr>
        <a:xfrm>
          <a:off x="2800860" y="15916354"/>
          <a:ext cx="14294156" cy="8393907"/>
          <a:chOff x="275908" y="15930564"/>
          <a:chExt cx="14056032" cy="8393906"/>
        </a:xfrm>
      </xdr:grpSpPr>
      <xdr:sp macro="" textlink="">
        <xdr:nvSpPr>
          <xdr:cNvPr id="48" name="Retângulo: Cantos Arredondados 47">
            <a:extLst>
              <a:ext uri="{FF2B5EF4-FFF2-40B4-BE49-F238E27FC236}">
                <a16:creationId xmlns:a16="http://schemas.microsoft.com/office/drawing/2014/main" id="{8F344A5C-E1FD-401A-8D8E-0778E27C2E71}"/>
              </a:ext>
            </a:extLst>
          </xdr:cNvPr>
          <xdr:cNvSpPr>
            <a:spLocks noChangeAspect="1"/>
          </xdr:cNvSpPr>
        </xdr:nvSpPr>
        <xdr:spPr>
          <a:xfrm>
            <a:off x="275908" y="15930564"/>
            <a:ext cx="14056032" cy="8393906"/>
          </a:xfrm>
          <a:prstGeom prst="round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endParaRPr lang="pt-BR" sz="1100"/>
          </a:p>
        </xdr:txBody>
      </xdr:sp>
      <xdr:graphicFrame macro="">
        <xdr:nvGraphicFramePr>
          <xdr:cNvPr id="54" name="Gráfico 53">
            <a:extLst>
              <a:ext uri="{FF2B5EF4-FFF2-40B4-BE49-F238E27FC236}">
                <a16:creationId xmlns:a16="http://schemas.microsoft.com/office/drawing/2014/main" id="{18B26898-E393-4840-9509-63A617813906}"/>
              </a:ext>
            </a:extLst>
          </xdr:cNvPr>
          <xdr:cNvGraphicFramePr>
            <a:graphicFrameLocks/>
          </xdr:cNvGraphicFramePr>
        </xdr:nvGraphicFramePr>
        <xdr:xfrm>
          <a:off x="2348938" y="16842772"/>
          <a:ext cx="11855218" cy="65232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5" name="Plan 1">
                <a:extLst>
                  <a:ext uri="{FF2B5EF4-FFF2-40B4-BE49-F238E27FC236}">
                    <a16:creationId xmlns:a16="http://schemas.microsoft.com/office/drawing/2014/main" id="{18160C6B-4326-4569-ADCD-B7EE9665D29B}"/>
                  </a:ext>
                </a:extLst>
              </xdr:cNvPr>
              <xdr:cNvGraphicFramePr/>
            </xdr:nvGraphicFramePr>
            <xdr:xfrm>
              <a:off x="392906" y="18024863"/>
              <a:ext cx="1929600" cy="1188000"/>
            </xdr:xfrm>
            <a:graphic>
              <a:graphicData uri="http://schemas.microsoft.com/office/drawing/2010/slicer">
                <sle:slicer xmlns:sle="http://schemas.microsoft.com/office/drawing/2010/slicer" name="Plan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19840" y="18010653"/>
                <a:ext cx="1962289" cy="118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6" name="Subscription Type 1">
                <a:extLst>
                  <a:ext uri="{FF2B5EF4-FFF2-40B4-BE49-F238E27FC236}">
                    <a16:creationId xmlns:a16="http://schemas.microsoft.com/office/drawing/2014/main" id="{E727764A-5B6F-4A84-86D6-D9C18D679CA5}"/>
                  </a:ext>
                </a:extLst>
              </xdr:cNvPr>
              <xdr:cNvGraphicFramePr/>
            </xdr:nvGraphicFramePr>
            <xdr:xfrm>
              <a:off x="392906" y="16836863"/>
              <a:ext cx="1929600" cy="1188000"/>
            </xdr:xfrm>
            <a:graphic>
              <a:graphicData uri="http://schemas.microsoft.com/office/drawing/2010/slicer">
                <sle:slicer xmlns:sle="http://schemas.microsoft.com/office/drawing/2010/slicer" name="Subscription Type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19840" y="16822653"/>
                <a:ext cx="1962289" cy="1188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57" name="Meses 4">
                <a:extLst>
                  <a:ext uri="{FF2B5EF4-FFF2-40B4-BE49-F238E27FC236}">
                    <a16:creationId xmlns:a16="http://schemas.microsoft.com/office/drawing/2014/main" id="{1B108CC7-2F4D-4255-80F6-A8B202611248}"/>
                  </a:ext>
                </a:extLst>
              </xdr:cNvPr>
              <xdr:cNvGraphicFramePr/>
            </xdr:nvGraphicFramePr>
            <xdr:xfrm>
              <a:off x="392906" y="19212863"/>
              <a:ext cx="1929600" cy="4147200"/>
            </xdr:xfrm>
            <a:graphic>
              <a:graphicData uri="http://schemas.microsoft.com/office/drawing/2010/slicer">
                <sle:slicer xmlns:sle="http://schemas.microsoft.com/office/drawing/2010/slicer" name="Meses 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19840" y="19198653"/>
                <a:ext cx="1962289" cy="4147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005374F7-33F6-4A5D-8392-A273459E39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228658" y="16906876"/>
            <a:ext cx="1652997" cy="433198"/>
          </a:xfrm>
          <a:prstGeom prst="rect">
            <a:avLst/>
          </a:prstGeom>
        </xdr:spPr>
      </xdr:pic>
      <xdr:sp macro="" textlink="C̳álculos!N73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7AA9150A-D295-47A4-B331-888C65BBF86C}"/>
              </a:ext>
            </a:extLst>
          </xdr:cNvPr>
          <xdr:cNvSpPr/>
        </xdr:nvSpPr>
        <xdr:spPr>
          <a:xfrm>
            <a:off x="11569689" y="16906876"/>
            <a:ext cx="2702720" cy="127396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fld id="{21DC8073-3D2D-4043-A1B0-8513BE352C81}" type="TxLink">
              <a:rPr lang="en-US" sz="3000" b="0" i="0" u="none" strike="noStrike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R$ 7.633,00 </a:t>
            </a:fld>
            <a:endParaRPr lang="pt-BR" sz="3000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56702</xdr:colOff>
      <xdr:row>3</xdr:row>
      <xdr:rowOff>108958</xdr:rowOff>
    </xdr:from>
    <xdr:to>
      <xdr:col>1</xdr:col>
      <xdr:colOff>388014</xdr:colOff>
      <xdr:row>9</xdr:row>
      <xdr:rowOff>59271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1621DF08-EE47-416B-97CF-B25A2D443703}"/>
            </a:ext>
          </a:extLst>
        </xdr:cNvPr>
        <xdr:cNvSpPr/>
      </xdr:nvSpPr>
      <xdr:spPr>
        <a:xfrm>
          <a:off x="56702" y="1335302"/>
          <a:ext cx="1260000" cy="12600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503205</xdr:colOff>
      <xdr:row>3</xdr:row>
      <xdr:rowOff>123713</xdr:rowOff>
    </xdr:from>
    <xdr:to>
      <xdr:col>2</xdr:col>
      <xdr:colOff>858330</xdr:colOff>
      <xdr:row>9</xdr:row>
      <xdr:rowOff>74026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834A675-3BFD-482A-9978-D4C1E6D5310B}"/>
            </a:ext>
          </a:extLst>
        </xdr:cNvPr>
        <xdr:cNvSpPr/>
      </xdr:nvSpPr>
      <xdr:spPr>
        <a:xfrm>
          <a:off x="1431893" y="1350057"/>
          <a:ext cx="1260000" cy="12600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4</xdr:col>
      <xdr:colOff>322440</xdr:colOff>
      <xdr:row>0</xdr:row>
      <xdr:rowOff>46120</xdr:rowOff>
    </xdr:from>
    <xdr:to>
      <xdr:col>16</xdr:col>
      <xdr:colOff>427665</xdr:colOff>
      <xdr:row>1</xdr:row>
      <xdr:rowOff>7436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EB0EB5B3-8CF5-40E2-A5DA-0C0635877773}"/>
            </a:ext>
          </a:extLst>
        </xdr:cNvPr>
        <xdr:cNvSpPr/>
      </xdr:nvSpPr>
      <xdr:spPr>
        <a:xfrm>
          <a:off x="4013378" y="46120"/>
          <a:ext cx="861819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0" cap="none" spc="0">
              <a:ln w="0"/>
              <a:solidFill>
                <a:schemeClr val="accent6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ANUAL</a:t>
          </a:r>
          <a:r>
            <a:rPr lang="pt-BR" sz="5400" b="0" cap="none" spc="0" baseline="0">
              <a:ln w="0"/>
              <a:solidFill>
                <a:schemeClr val="accent6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 SUBSCRIPTION</a:t>
          </a:r>
          <a:r>
            <a:rPr lang="pt-BR" sz="5400" b="0" cap="none" spc="0">
              <a:ln w="0"/>
              <a:solidFill>
                <a:schemeClr val="accent6">
                  <a:lumMod val="75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 SALES</a:t>
          </a:r>
        </a:p>
      </xdr:txBody>
    </xdr:sp>
    <xdr:clientData/>
  </xdr:twoCellAnchor>
  <xdr:twoCellAnchor editAs="absolute">
    <xdr:from>
      <xdr:col>0</xdr:col>
      <xdr:colOff>384520</xdr:colOff>
      <xdr:row>9</xdr:row>
      <xdr:rowOff>20704</xdr:rowOff>
    </xdr:from>
    <xdr:to>
      <xdr:col>2</xdr:col>
      <xdr:colOff>492065</xdr:colOff>
      <xdr:row>13</xdr:row>
      <xdr:rowOff>45181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59E2C4EE-FFEA-40BD-9408-07FEB043279D}"/>
            </a:ext>
          </a:extLst>
        </xdr:cNvPr>
        <xdr:cNvSpPr/>
      </xdr:nvSpPr>
      <xdr:spPr>
        <a:xfrm>
          <a:off x="384520" y="2556735"/>
          <a:ext cx="1941108" cy="77457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000" b="0" cap="none" spc="0">
              <a:ln>
                <a:noFill/>
              </a:ln>
              <a:solidFill>
                <a:schemeClr val="bg1">
                  <a:lumMod val="9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Bem vindos</a:t>
          </a:r>
          <a:br>
            <a:rPr lang="pt-BR" sz="2000" b="0" cap="none" spc="0">
              <a:ln>
                <a:noFill/>
              </a:ln>
              <a:solidFill>
                <a:schemeClr val="bg1">
                  <a:lumMod val="9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2000" b="0" cap="none" spc="0">
              <a:ln>
                <a:noFill/>
              </a:ln>
              <a:solidFill>
                <a:schemeClr val="bg1">
                  <a:lumMod val="95000"/>
                </a:schemeClr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rPr>
            <a:t>Maria &amp; Darren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ren Paranhos" refreshedDate="46025.096193865742" createdVersion="6" refreshedVersion="6" minRefreshableVersion="3" recordCount="295" xr:uid="{7C395890-F581-418C-B7A7-9ACBD520499F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4270292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x v="0"/>
    <x v="0"/>
    <x v="0"/>
    <x v="0"/>
    <x v="0"/>
  </r>
  <r>
    <n v="3232"/>
    <x v="1"/>
    <x v="1"/>
    <x v="1"/>
    <x v="1"/>
    <x v="1"/>
    <x v="1"/>
    <x v="1"/>
    <x v="1"/>
    <x v="1"/>
    <x v="1"/>
    <x v="1"/>
    <x v="1"/>
  </r>
  <r>
    <n v="3233"/>
    <x v="2"/>
    <x v="2"/>
    <x v="2"/>
    <x v="0"/>
    <x v="2"/>
    <x v="2"/>
    <x v="1"/>
    <x v="1"/>
    <x v="0"/>
    <x v="0"/>
    <x v="2"/>
    <x v="2"/>
  </r>
  <r>
    <n v="3234"/>
    <x v="3"/>
    <x v="0"/>
    <x v="3"/>
    <x v="1"/>
    <x v="0"/>
    <x v="0"/>
    <x v="0"/>
    <x v="0"/>
    <x v="0"/>
    <x v="0"/>
    <x v="3"/>
    <x v="3"/>
  </r>
  <r>
    <n v="3235"/>
    <x v="4"/>
    <x v="1"/>
    <x v="4"/>
    <x v="0"/>
    <x v="1"/>
    <x v="0"/>
    <x v="1"/>
    <x v="1"/>
    <x v="1"/>
    <x v="1"/>
    <x v="4"/>
    <x v="4"/>
  </r>
  <r>
    <n v="3236"/>
    <x v="5"/>
    <x v="2"/>
    <x v="5"/>
    <x v="1"/>
    <x v="2"/>
    <x v="0"/>
    <x v="1"/>
    <x v="1"/>
    <x v="0"/>
    <x v="0"/>
    <x v="5"/>
    <x v="5"/>
  </r>
  <r>
    <n v="3237"/>
    <x v="6"/>
    <x v="0"/>
    <x v="6"/>
    <x v="0"/>
    <x v="0"/>
    <x v="2"/>
    <x v="0"/>
    <x v="0"/>
    <x v="0"/>
    <x v="0"/>
    <x v="2"/>
    <x v="6"/>
  </r>
  <r>
    <n v="3238"/>
    <x v="7"/>
    <x v="1"/>
    <x v="7"/>
    <x v="0"/>
    <x v="1"/>
    <x v="1"/>
    <x v="1"/>
    <x v="1"/>
    <x v="1"/>
    <x v="1"/>
    <x v="1"/>
    <x v="1"/>
  </r>
  <r>
    <n v="3239"/>
    <x v="8"/>
    <x v="0"/>
    <x v="4"/>
    <x v="1"/>
    <x v="0"/>
    <x v="0"/>
    <x v="0"/>
    <x v="0"/>
    <x v="0"/>
    <x v="0"/>
    <x v="0"/>
    <x v="0"/>
  </r>
  <r>
    <n v="3240"/>
    <x v="9"/>
    <x v="2"/>
    <x v="8"/>
    <x v="0"/>
    <x v="2"/>
    <x v="2"/>
    <x v="1"/>
    <x v="1"/>
    <x v="0"/>
    <x v="0"/>
    <x v="6"/>
    <x v="7"/>
  </r>
  <r>
    <n v="3241"/>
    <x v="10"/>
    <x v="1"/>
    <x v="9"/>
    <x v="1"/>
    <x v="1"/>
    <x v="0"/>
    <x v="1"/>
    <x v="1"/>
    <x v="1"/>
    <x v="1"/>
    <x v="4"/>
    <x v="4"/>
  </r>
  <r>
    <n v="3242"/>
    <x v="11"/>
    <x v="0"/>
    <x v="10"/>
    <x v="0"/>
    <x v="0"/>
    <x v="1"/>
    <x v="0"/>
    <x v="0"/>
    <x v="0"/>
    <x v="0"/>
    <x v="7"/>
    <x v="8"/>
  </r>
  <r>
    <n v="3243"/>
    <x v="12"/>
    <x v="2"/>
    <x v="11"/>
    <x v="1"/>
    <x v="2"/>
    <x v="0"/>
    <x v="1"/>
    <x v="1"/>
    <x v="0"/>
    <x v="0"/>
    <x v="2"/>
    <x v="2"/>
  </r>
  <r>
    <n v="3244"/>
    <x v="13"/>
    <x v="1"/>
    <x v="12"/>
    <x v="0"/>
    <x v="1"/>
    <x v="2"/>
    <x v="1"/>
    <x v="1"/>
    <x v="1"/>
    <x v="1"/>
    <x v="1"/>
    <x v="1"/>
  </r>
  <r>
    <n v="3245"/>
    <x v="14"/>
    <x v="0"/>
    <x v="13"/>
    <x v="1"/>
    <x v="0"/>
    <x v="0"/>
    <x v="0"/>
    <x v="0"/>
    <x v="0"/>
    <x v="0"/>
    <x v="8"/>
    <x v="9"/>
  </r>
  <r>
    <n v="3246"/>
    <x v="15"/>
    <x v="2"/>
    <x v="14"/>
    <x v="0"/>
    <x v="2"/>
    <x v="1"/>
    <x v="1"/>
    <x v="1"/>
    <x v="0"/>
    <x v="0"/>
    <x v="9"/>
    <x v="10"/>
  </r>
  <r>
    <n v="3247"/>
    <x v="16"/>
    <x v="1"/>
    <x v="15"/>
    <x v="1"/>
    <x v="1"/>
    <x v="0"/>
    <x v="1"/>
    <x v="1"/>
    <x v="1"/>
    <x v="1"/>
    <x v="5"/>
    <x v="11"/>
  </r>
  <r>
    <n v="3248"/>
    <x v="17"/>
    <x v="0"/>
    <x v="16"/>
    <x v="0"/>
    <x v="0"/>
    <x v="2"/>
    <x v="0"/>
    <x v="0"/>
    <x v="0"/>
    <x v="0"/>
    <x v="10"/>
    <x v="12"/>
  </r>
  <r>
    <n v="3249"/>
    <x v="18"/>
    <x v="2"/>
    <x v="17"/>
    <x v="1"/>
    <x v="2"/>
    <x v="0"/>
    <x v="1"/>
    <x v="1"/>
    <x v="0"/>
    <x v="0"/>
    <x v="0"/>
    <x v="13"/>
  </r>
  <r>
    <n v="3250"/>
    <x v="19"/>
    <x v="1"/>
    <x v="18"/>
    <x v="0"/>
    <x v="1"/>
    <x v="1"/>
    <x v="1"/>
    <x v="1"/>
    <x v="1"/>
    <x v="1"/>
    <x v="1"/>
    <x v="1"/>
  </r>
  <r>
    <n v="3251"/>
    <x v="20"/>
    <x v="0"/>
    <x v="19"/>
    <x v="1"/>
    <x v="0"/>
    <x v="0"/>
    <x v="0"/>
    <x v="0"/>
    <x v="0"/>
    <x v="0"/>
    <x v="3"/>
    <x v="3"/>
  </r>
  <r>
    <n v="3252"/>
    <x v="21"/>
    <x v="2"/>
    <x v="20"/>
    <x v="0"/>
    <x v="2"/>
    <x v="2"/>
    <x v="1"/>
    <x v="1"/>
    <x v="0"/>
    <x v="0"/>
    <x v="6"/>
    <x v="7"/>
  </r>
  <r>
    <n v="3253"/>
    <x v="22"/>
    <x v="1"/>
    <x v="21"/>
    <x v="1"/>
    <x v="1"/>
    <x v="0"/>
    <x v="1"/>
    <x v="1"/>
    <x v="1"/>
    <x v="1"/>
    <x v="4"/>
    <x v="4"/>
  </r>
  <r>
    <n v="3254"/>
    <x v="23"/>
    <x v="0"/>
    <x v="22"/>
    <x v="0"/>
    <x v="0"/>
    <x v="1"/>
    <x v="0"/>
    <x v="0"/>
    <x v="0"/>
    <x v="0"/>
    <x v="7"/>
    <x v="8"/>
  </r>
  <r>
    <n v="3255"/>
    <x v="24"/>
    <x v="2"/>
    <x v="23"/>
    <x v="1"/>
    <x v="2"/>
    <x v="0"/>
    <x v="1"/>
    <x v="1"/>
    <x v="0"/>
    <x v="0"/>
    <x v="2"/>
    <x v="2"/>
  </r>
  <r>
    <n v="3256"/>
    <x v="25"/>
    <x v="1"/>
    <x v="24"/>
    <x v="0"/>
    <x v="1"/>
    <x v="2"/>
    <x v="1"/>
    <x v="1"/>
    <x v="1"/>
    <x v="1"/>
    <x v="1"/>
    <x v="1"/>
  </r>
  <r>
    <n v="3257"/>
    <x v="26"/>
    <x v="0"/>
    <x v="25"/>
    <x v="1"/>
    <x v="0"/>
    <x v="0"/>
    <x v="0"/>
    <x v="0"/>
    <x v="0"/>
    <x v="0"/>
    <x v="0"/>
    <x v="0"/>
  </r>
  <r>
    <n v="3258"/>
    <x v="27"/>
    <x v="2"/>
    <x v="26"/>
    <x v="0"/>
    <x v="2"/>
    <x v="1"/>
    <x v="1"/>
    <x v="1"/>
    <x v="0"/>
    <x v="0"/>
    <x v="6"/>
    <x v="7"/>
  </r>
  <r>
    <n v="3259"/>
    <x v="28"/>
    <x v="1"/>
    <x v="27"/>
    <x v="1"/>
    <x v="1"/>
    <x v="0"/>
    <x v="1"/>
    <x v="1"/>
    <x v="1"/>
    <x v="1"/>
    <x v="4"/>
    <x v="4"/>
  </r>
  <r>
    <n v="3260"/>
    <x v="29"/>
    <x v="0"/>
    <x v="28"/>
    <x v="0"/>
    <x v="0"/>
    <x v="2"/>
    <x v="0"/>
    <x v="0"/>
    <x v="0"/>
    <x v="0"/>
    <x v="10"/>
    <x v="12"/>
  </r>
  <r>
    <n v="3261"/>
    <x v="30"/>
    <x v="2"/>
    <x v="29"/>
    <x v="1"/>
    <x v="2"/>
    <x v="0"/>
    <x v="1"/>
    <x v="1"/>
    <x v="0"/>
    <x v="0"/>
    <x v="2"/>
    <x v="2"/>
  </r>
  <r>
    <n v="3262"/>
    <x v="31"/>
    <x v="1"/>
    <x v="30"/>
    <x v="0"/>
    <x v="1"/>
    <x v="1"/>
    <x v="1"/>
    <x v="1"/>
    <x v="1"/>
    <x v="1"/>
    <x v="1"/>
    <x v="1"/>
  </r>
  <r>
    <n v="3263"/>
    <x v="32"/>
    <x v="0"/>
    <x v="31"/>
    <x v="1"/>
    <x v="0"/>
    <x v="0"/>
    <x v="0"/>
    <x v="0"/>
    <x v="0"/>
    <x v="0"/>
    <x v="3"/>
    <x v="3"/>
  </r>
  <r>
    <n v="3264"/>
    <x v="33"/>
    <x v="2"/>
    <x v="32"/>
    <x v="0"/>
    <x v="2"/>
    <x v="2"/>
    <x v="1"/>
    <x v="1"/>
    <x v="0"/>
    <x v="0"/>
    <x v="6"/>
    <x v="7"/>
  </r>
  <r>
    <n v="3265"/>
    <x v="34"/>
    <x v="1"/>
    <x v="33"/>
    <x v="1"/>
    <x v="1"/>
    <x v="0"/>
    <x v="1"/>
    <x v="1"/>
    <x v="1"/>
    <x v="1"/>
    <x v="4"/>
    <x v="4"/>
  </r>
  <r>
    <n v="3266"/>
    <x v="35"/>
    <x v="1"/>
    <x v="34"/>
    <x v="0"/>
    <x v="1"/>
    <x v="0"/>
    <x v="1"/>
    <x v="1"/>
    <x v="1"/>
    <x v="1"/>
    <x v="1"/>
    <x v="1"/>
  </r>
  <r>
    <n v="3267"/>
    <x v="36"/>
    <x v="0"/>
    <x v="35"/>
    <x v="1"/>
    <x v="0"/>
    <x v="2"/>
    <x v="0"/>
    <x v="0"/>
    <x v="0"/>
    <x v="0"/>
    <x v="10"/>
    <x v="12"/>
  </r>
  <r>
    <n v="3268"/>
    <x v="37"/>
    <x v="2"/>
    <x v="36"/>
    <x v="0"/>
    <x v="2"/>
    <x v="1"/>
    <x v="1"/>
    <x v="1"/>
    <x v="0"/>
    <x v="0"/>
    <x v="2"/>
    <x v="2"/>
  </r>
  <r>
    <n v="3269"/>
    <x v="38"/>
    <x v="1"/>
    <x v="37"/>
    <x v="1"/>
    <x v="1"/>
    <x v="2"/>
    <x v="1"/>
    <x v="1"/>
    <x v="1"/>
    <x v="1"/>
    <x v="4"/>
    <x v="4"/>
  </r>
  <r>
    <n v="3270"/>
    <x v="39"/>
    <x v="0"/>
    <x v="38"/>
    <x v="0"/>
    <x v="0"/>
    <x v="0"/>
    <x v="0"/>
    <x v="0"/>
    <x v="0"/>
    <x v="0"/>
    <x v="6"/>
    <x v="14"/>
  </r>
  <r>
    <n v="3271"/>
    <x v="40"/>
    <x v="2"/>
    <x v="39"/>
    <x v="1"/>
    <x v="2"/>
    <x v="0"/>
    <x v="1"/>
    <x v="1"/>
    <x v="0"/>
    <x v="0"/>
    <x v="0"/>
    <x v="13"/>
  </r>
  <r>
    <n v="3272"/>
    <x v="41"/>
    <x v="1"/>
    <x v="40"/>
    <x v="0"/>
    <x v="1"/>
    <x v="1"/>
    <x v="1"/>
    <x v="1"/>
    <x v="1"/>
    <x v="1"/>
    <x v="1"/>
    <x v="1"/>
  </r>
  <r>
    <n v="3273"/>
    <x v="42"/>
    <x v="0"/>
    <x v="41"/>
    <x v="1"/>
    <x v="0"/>
    <x v="2"/>
    <x v="0"/>
    <x v="0"/>
    <x v="0"/>
    <x v="0"/>
    <x v="7"/>
    <x v="8"/>
  </r>
  <r>
    <n v="3274"/>
    <x v="43"/>
    <x v="2"/>
    <x v="42"/>
    <x v="0"/>
    <x v="2"/>
    <x v="2"/>
    <x v="1"/>
    <x v="1"/>
    <x v="0"/>
    <x v="0"/>
    <x v="9"/>
    <x v="10"/>
  </r>
  <r>
    <n v="3275"/>
    <x v="44"/>
    <x v="1"/>
    <x v="43"/>
    <x v="1"/>
    <x v="1"/>
    <x v="0"/>
    <x v="1"/>
    <x v="1"/>
    <x v="1"/>
    <x v="1"/>
    <x v="5"/>
    <x v="11"/>
  </r>
  <r>
    <n v="3276"/>
    <x v="45"/>
    <x v="0"/>
    <x v="44"/>
    <x v="0"/>
    <x v="0"/>
    <x v="1"/>
    <x v="0"/>
    <x v="0"/>
    <x v="0"/>
    <x v="0"/>
    <x v="0"/>
    <x v="0"/>
  </r>
  <r>
    <n v="3277"/>
    <x v="46"/>
    <x v="2"/>
    <x v="45"/>
    <x v="1"/>
    <x v="2"/>
    <x v="0"/>
    <x v="1"/>
    <x v="1"/>
    <x v="0"/>
    <x v="0"/>
    <x v="2"/>
    <x v="2"/>
  </r>
  <r>
    <n v="3278"/>
    <x v="47"/>
    <x v="1"/>
    <x v="46"/>
    <x v="0"/>
    <x v="1"/>
    <x v="2"/>
    <x v="1"/>
    <x v="1"/>
    <x v="1"/>
    <x v="1"/>
    <x v="1"/>
    <x v="1"/>
  </r>
  <r>
    <n v="3279"/>
    <x v="48"/>
    <x v="0"/>
    <x v="47"/>
    <x v="1"/>
    <x v="0"/>
    <x v="0"/>
    <x v="0"/>
    <x v="0"/>
    <x v="0"/>
    <x v="0"/>
    <x v="3"/>
    <x v="3"/>
  </r>
  <r>
    <n v="3280"/>
    <x v="49"/>
    <x v="2"/>
    <x v="48"/>
    <x v="0"/>
    <x v="2"/>
    <x v="1"/>
    <x v="1"/>
    <x v="1"/>
    <x v="0"/>
    <x v="0"/>
    <x v="6"/>
    <x v="7"/>
  </r>
  <r>
    <n v="3281"/>
    <x v="50"/>
    <x v="1"/>
    <x v="49"/>
    <x v="1"/>
    <x v="1"/>
    <x v="0"/>
    <x v="1"/>
    <x v="1"/>
    <x v="1"/>
    <x v="1"/>
    <x v="4"/>
    <x v="4"/>
  </r>
  <r>
    <n v="3282"/>
    <x v="51"/>
    <x v="0"/>
    <x v="50"/>
    <x v="0"/>
    <x v="0"/>
    <x v="2"/>
    <x v="0"/>
    <x v="0"/>
    <x v="0"/>
    <x v="0"/>
    <x v="10"/>
    <x v="12"/>
  </r>
  <r>
    <n v="3283"/>
    <x v="52"/>
    <x v="2"/>
    <x v="51"/>
    <x v="1"/>
    <x v="2"/>
    <x v="0"/>
    <x v="1"/>
    <x v="1"/>
    <x v="0"/>
    <x v="0"/>
    <x v="2"/>
    <x v="2"/>
  </r>
  <r>
    <n v="3284"/>
    <x v="53"/>
    <x v="1"/>
    <x v="52"/>
    <x v="0"/>
    <x v="1"/>
    <x v="1"/>
    <x v="1"/>
    <x v="1"/>
    <x v="1"/>
    <x v="1"/>
    <x v="1"/>
    <x v="1"/>
  </r>
  <r>
    <n v="3285"/>
    <x v="54"/>
    <x v="0"/>
    <x v="53"/>
    <x v="1"/>
    <x v="0"/>
    <x v="0"/>
    <x v="0"/>
    <x v="0"/>
    <x v="0"/>
    <x v="0"/>
    <x v="7"/>
    <x v="8"/>
  </r>
  <r>
    <n v="3286"/>
    <x v="55"/>
    <x v="2"/>
    <x v="54"/>
    <x v="0"/>
    <x v="2"/>
    <x v="2"/>
    <x v="1"/>
    <x v="1"/>
    <x v="0"/>
    <x v="0"/>
    <x v="6"/>
    <x v="7"/>
  </r>
  <r>
    <n v="3287"/>
    <x v="56"/>
    <x v="1"/>
    <x v="55"/>
    <x v="1"/>
    <x v="1"/>
    <x v="0"/>
    <x v="1"/>
    <x v="1"/>
    <x v="1"/>
    <x v="1"/>
    <x v="4"/>
    <x v="4"/>
  </r>
  <r>
    <n v="3288"/>
    <x v="57"/>
    <x v="0"/>
    <x v="56"/>
    <x v="0"/>
    <x v="0"/>
    <x v="1"/>
    <x v="0"/>
    <x v="0"/>
    <x v="0"/>
    <x v="0"/>
    <x v="3"/>
    <x v="3"/>
  </r>
  <r>
    <n v="3289"/>
    <x v="58"/>
    <x v="2"/>
    <x v="57"/>
    <x v="1"/>
    <x v="2"/>
    <x v="0"/>
    <x v="1"/>
    <x v="1"/>
    <x v="0"/>
    <x v="0"/>
    <x v="2"/>
    <x v="2"/>
  </r>
  <r>
    <n v="3290"/>
    <x v="59"/>
    <x v="1"/>
    <x v="58"/>
    <x v="0"/>
    <x v="1"/>
    <x v="2"/>
    <x v="1"/>
    <x v="1"/>
    <x v="1"/>
    <x v="1"/>
    <x v="1"/>
    <x v="1"/>
  </r>
  <r>
    <n v="3291"/>
    <x v="60"/>
    <x v="0"/>
    <x v="59"/>
    <x v="1"/>
    <x v="0"/>
    <x v="0"/>
    <x v="0"/>
    <x v="0"/>
    <x v="0"/>
    <x v="0"/>
    <x v="0"/>
    <x v="0"/>
  </r>
  <r>
    <n v="3292"/>
    <x v="61"/>
    <x v="2"/>
    <x v="60"/>
    <x v="0"/>
    <x v="2"/>
    <x v="1"/>
    <x v="1"/>
    <x v="1"/>
    <x v="0"/>
    <x v="0"/>
    <x v="6"/>
    <x v="7"/>
  </r>
  <r>
    <n v="3293"/>
    <x v="62"/>
    <x v="1"/>
    <x v="61"/>
    <x v="1"/>
    <x v="1"/>
    <x v="0"/>
    <x v="1"/>
    <x v="1"/>
    <x v="1"/>
    <x v="1"/>
    <x v="4"/>
    <x v="4"/>
  </r>
  <r>
    <n v="3294"/>
    <x v="63"/>
    <x v="0"/>
    <x v="62"/>
    <x v="0"/>
    <x v="0"/>
    <x v="2"/>
    <x v="0"/>
    <x v="0"/>
    <x v="0"/>
    <x v="0"/>
    <x v="7"/>
    <x v="8"/>
  </r>
  <r>
    <n v="3295"/>
    <x v="64"/>
    <x v="2"/>
    <x v="63"/>
    <x v="1"/>
    <x v="2"/>
    <x v="0"/>
    <x v="1"/>
    <x v="1"/>
    <x v="0"/>
    <x v="0"/>
    <x v="0"/>
    <x v="13"/>
  </r>
  <r>
    <n v="3296"/>
    <x v="65"/>
    <x v="1"/>
    <x v="64"/>
    <x v="1"/>
    <x v="1"/>
    <x v="0"/>
    <x v="1"/>
    <x v="1"/>
    <x v="1"/>
    <x v="1"/>
    <x v="1"/>
    <x v="1"/>
  </r>
  <r>
    <n v="3297"/>
    <x v="66"/>
    <x v="0"/>
    <x v="65"/>
    <x v="0"/>
    <x v="0"/>
    <x v="2"/>
    <x v="0"/>
    <x v="0"/>
    <x v="0"/>
    <x v="0"/>
    <x v="10"/>
    <x v="12"/>
  </r>
  <r>
    <n v="3298"/>
    <x v="67"/>
    <x v="2"/>
    <x v="66"/>
    <x v="1"/>
    <x v="2"/>
    <x v="1"/>
    <x v="1"/>
    <x v="1"/>
    <x v="0"/>
    <x v="0"/>
    <x v="2"/>
    <x v="2"/>
  </r>
  <r>
    <n v="3299"/>
    <x v="68"/>
    <x v="1"/>
    <x v="67"/>
    <x v="0"/>
    <x v="1"/>
    <x v="2"/>
    <x v="1"/>
    <x v="1"/>
    <x v="1"/>
    <x v="1"/>
    <x v="4"/>
    <x v="4"/>
  </r>
  <r>
    <n v="3300"/>
    <x v="69"/>
    <x v="0"/>
    <x v="68"/>
    <x v="1"/>
    <x v="0"/>
    <x v="0"/>
    <x v="0"/>
    <x v="0"/>
    <x v="0"/>
    <x v="0"/>
    <x v="6"/>
    <x v="14"/>
  </r>
  <r>
    <n v="3301"/>
    <x v="70"/>
    <x v="2"/>
    <x v="69"/>
    <x v="0"/>
    <x v="2"/>
    <x v="0"/>
    <x v="1"/>
    <x v="1"/>
    <x v="0"/>
    <x v="0"/>
    <x v="0"/>
    <x v="13"/>
  </r>
  <r>
    <n v="3302"/>
    <x v="71"/>
    <x v="1"/>
    <x v="70"/>
    <x v="1"/>
    <x v="1"/>
    <x v="1"/>
    <x v="1"/>
    <x v="1"/>
    <x v="1"/>
    <x v="1"/>
    <x v="1"/>
    <x v="1"/>
  </r>
  <r>
    <n v="3303"/>
    <x v="72"/>
    <x v="0"/>
    <x v="71"/>
    <x v="0"/>
    <x v="0"/>
    <x v="2"/>
    <x v="0"/>
    <x v="0"/>
    <x v="0"/>
    <x v="0"/>
    <x v="7"/>
    <x v="8"/>
  </r>
  <r>
    <n v="3304"/>
    <x v="73"/>
    <x v="2"/>
    <x v="72"/>
    <x v="1"/>
    <x v="2"/>
    <x v="2"/>
    <x v="1"/>
    <x v="1"/>
    <x v="0"/>
    <x v="0"/>
    <x v="9"/>
    <x v="10"/>
  </r>
  <r>
    <n v="3305"/>
    <x v="74"/>
    <x v="1"/>
    <x v="73"/>
    <x v="0"/>
    <x v="1"/>
    <x v="0"/>
    <x v="1"/>
    <x v="1"/>
    <x v="1"/>
    <x v="1"/>
    <x v="5"/>
    <x v="11"/>
  </r>
  <r>
    <n v="3306"/>
    <x v="75"/>
    <x v="0"/>
    <x v="74"/>
    <x v="1"/>
    <x v="0"/>
    <x v="1"/>
    <x v="0"/>
    <x v="0"/>
    <x v="0"/>
    <x v="0"/>
    <x v="0"/>
    <x v="0"/>
  </r>
  <r>
    <n v="3307"/>
    <x v="76"/>
    <x v="2"/>
    <x v="75"/>
    <x v="0"/>
    <x v="2"/>
    <x v="0"/>
    <x v="1"/>
    <x v="1"/>
    <x v="0"/>
    <x v="0"/>
    <x v="2"/>
    <x v="2"/>
  </r>
  <r>
    <n v="3308"/>
    <x v="77"/>
    <x v="1"/>
    <x v="76"/>
    <x v="1"/>
    <x v="1"/>
    <x v="2"/>
    <x v="1"/>
    <x v="1"/>
    <x v="1"/>
    <x v="1"/>
    <x v="1"/>
    <x v="1"/>
  </r>
  <r>
    <n v="3309"/>
    <x v="78"/>
    <x v="0"/>
    <x v="77"/>
    <x v="0"/>
    <x v="0"/>
    <x v="0"/>
    <x v="0"/>
    <x v="0"/>
    <x v="0"/>
    <x v="0"/>
    <x v="3"/>
    <x v="3"/>
  </r>
  <r>
    <n v="3310"/>
    <x v="79"/>
    <x v="2"/>
    <x v="78"/>
    <x v="1"/>
    <x v="2"/>
    <x v="1"/>
    <x v="1"/>
    <x v="1"/>
    <x v="0"/>
    <x v="0"/>
    <x v="6"/>
    <x v="7"/>
  </r>
  <r>
    <n v="3311"/>
    <x v="80"/>
    <x v="1"/>
    <x v="79"/>
    <x v="0"/>
    <x v="1"/>
    <x v="0"/>
    <x v="1"/>
    <x v="1"/>
    <x v="1"/>
    <x v="1"/>
    <x v="4"/>
    <x v="4"/>
  </r>
  <r>
    <n v="3312"/>
    <x v="81"/>
    <x v="0"/>
    <x v="80"/>
    <x v="1"/>
    <x v="0"/>
    <x v="2"/>
    <x v="0"/>
    <x v="0"/>
    <x v="0"/>
    <x v="0"/>
    <x v="10"/>
    <x v="12"/>
  </r>
  <r>
    <n v="3313"/>
    <x v="82"/>
    <x v="2"/>
    <x v="81"/>
    <x v="0"/>
    <x v="2"/>
    <x v="0"/>
    <x v="1"/>
    <x v="1"/>
    <x v="0"/>
    <x v="0"/>
    <x v="2"/>
    <x v="2"/>
  </r>
  <r>
    <n v="3314"/>
    <x v="83"/>
    <x v="1"/>
    <x v="82"/>
    <x v="1"/>
    <x v="1"/>
    <x v="1"/>
    <x v="1"/>
    <x v="1"/>
    <x v="1"/>
    <x v="1"/>
    <x v="1"/>
    <x v="1"/>
  </r>
  <r>
    <n v="3315"/>
    <x v="84"/>
    <x v="0"/>
    <x v="83"/>
    <x v="0"/>
    <x v="0"/>
    <x v="0"/>
    <x v="0"/>
    <x v="0"/>
    <x v="0"/>
    <x v="0"/>
    <x v="7"/>
    <x v="8"/>
  </r>
  <r>
    <n v="3316"/>
    <x v="85"/>
    <x v="2"/>
    <x v="84"/>
    <x v="1"/>
    <x v="2"/>
    <x v="2"/>
    <x v="1"/>
    <x v="1"/>
    <x v="0"/>
    <x v="0"/>
    <x v="6"/>
    <x v="7"/>
  </r>
  <r>
    <n v="3317"/>
    <x v="86"/>
    <x v="1"/>
    <x v="85"/>
    <x v="0"/>
    <x v="1"/>
    <x v="0"/>
    <x v="1"/>
    <x v="1"/>
    <x v="1"/>
    <x v="1"/>
    <x v="4"/>
    <x v="4"/>
  </r>
  <r>
    <n v="3318"/>
    <x v="87"/>
    <x v="0"/>
    <x v="86"/>
    <x v="1"/>
    <x v="0"/>
    <x v="1"/>
    <x v="0"/>
    <x v="0"/>
    <x v="0"/>
    <x v="0"/>
    <x v="3"/>
    <x v="3"/>
  </r>
  <r>
    <n v="3319"/>
    <x v="88"/>
    <x v="2"/>
    <x v="87"/>
    <x v="0"/>
    <x v="2"/>
    <x v="0"/>
    <x v="1"/>
    <x v="1"/>
    <x v="0"/>
    <x v="0"/>
    <x v="2"/>
    <x v="2"/>
  </r>
  <r>
    <n v="3320"/>
    <x v="89"/>
    <x v="1"/>
    <x v="88"/>
    <x v="1"/>
    <x v="1"/>
    <x v="2"/>
    <x v="1"/>
    <x v="1"/>
    <x v="1"/>
    <x v="1"/>
    <x v="1"/>
    <x v="1"/>
  </r>
  <r>
    <n v="3321"/>
    <x v="90"/>
    <x v="0"/>
    <x v="89"/>
    <x v="0"/>
    <x v="0"/>
    <x v="0"/>
    <x v="0"/>
    <x v="0"/>
    <x v="0"/>
    <x v="0"/>
    <x v="0"/>
    <x v="0"/>
  </r>
  <r>
    <n v="3322"/>
    <x v="91"/>
    <x v="2"/>
    <x v="90"/>
    <x v="1"/>
    <x v="2"/>
    <x v="1"/>
    <x v="1"/>
    <x v="1"/>
    <x v="0"/>
    <x v="0"/>
    <x v="6"/>
    <x v="7"/>
  </r>
  <r>
    <n v="3323"/>
    <x v="92"/>
    <x v="1"/>
    <x v="91"/>
    <x v="0"/>
    <x v="1"/>
    <x v="0"/>
    <x v="1"/>
    <x v="1"/>
    <x v="1"/>
    <x v="1"/>
    <x v="4"/>
    <x v="4"/>
  </r>
  <r>
    <n v="3324"/>
    <x v="93"/>
    <x v="0"/>
    <x v="92"/>
    <x v="1"/>
    <x v="0"/>
    <x v="2"/>
    <x v="0"/>
    <x v="0"/>
    <x v="0"/>
    <x v="0"/>
    <x v="7"/>
    <x v="8"/>
  </r>
  <r>
    <n v="3325"/>
    <x v="94"/>
    <x v="2"/>
    <x v="93"/>
    <x v="0"/>
    <x v="2"/>
    <x v="2"/>
    <x v="1"/>
    <x v="1"/>
    <x v="0"/>
    <x v="0"/>
    <x v="6"/>
    <x v="7"/>
  </r>
  <r>
    <n v="3326"/>
    <x v="95"/>
    <x v="1"/>
    <x v="94"/>
    <x v="1"/>
    <x v="1"/>
    <x v="1"/>
    <x v="1"/>
    <x v="1"/>
    <x v="1"/>
    <x v="1"/>
    <x v="1"/>
    <x v="1"/>
  </r>
  <r>
    <n v="3327"/>
    <x v="96"/>
    <x v="0"/>
    <x v="95"/>
    <x v="0"/>
    <x v="0"/>
    <x v="0"/>
    <x v="0"/>
    <x v="0"/>
    <x v="0"/>
    <x v="0"/>
    <x v="10"/>
    <x v="12"/>
  </r>
  <r>
    <n v="3328"/>
    <x v="97"/>
    <x v="2"/>
    <x v="96"/>
    <x v="1"/>
    <x v="2"/>
    <x v="1"/>
    <x v="1"/>
    <x v="1"/>
    <x v="0"/>
    <x v="0"/>
    <x v="2"/>
    <x v="2"/>
  </r>
  <r>
    <n v="3329"/>
    <x v="98"/>
    <x v="1"/>
    <x v="97"/>
    <x v="0"/>
    <x v="1"/>
    <x v="2"/>
    <x v="1"/>
    <x v="1"/>
    <x v="1"/>
    <x v="1"/>
    <x v="4"/>
    <x v="4"/>
  </r>
  <r>
    <n v="3330"/>
    <x v="99"/>
    <x v="0"/>
    <x v="98"/>
    <x v="1"/>
    <x v="0"/>
    <x v="0"/>
    <x v="0"/>
    <x v="0"/>
    <x v="0"/>
    <x v="0"/>
    <x v="6"/>
    <x v="14"/>
  </r>
  <r>
    <n v="3331"/>
    <x v="100"/>
    <x v="2"/>
    <x v="99"/>
    <x v="0"/>
    <x v="2"/>
    <x v="0"/>
    <x v="1"/>
    <x v="1"/>
    <x v="0"/>
    <x v="0"/>
    <x v="0"/>
    <x v="13"/>
  </r>
  <r>
    <n v="3332"/>
    <x v="101"/>
    <x v="1"/>
    <x v="100"/>
    <x v="1"/>
    <x v="1"/>
    <x v="1"/>
    <x v="1"/>
    <x v="1"/>
    <x v="1"/>
    <x v="1"/>
    <x v="1"/>
    <x v="1"/>
  </r>
  <r>
    <n v="3333"/>
    <x v="102"/>
    <x v="0"/>
    <x v="101"/>
    <x v="0"/>
    <x v="0"/>
    <x v="2"/>
    <x v="0"/>
    <x v="0"/>
    <x v="0"/>
    <x v="0"/>
    <x v="7"/>
    <x v="8"/>
  </r>
  <r>
    <n v="3334"/>
    <x v="103"/>
    <x v="2"/>
    <x v="102"/>
    <x v="1"/>
    <x v="2"/>
    <x v="2"/>
    <x v="1"/>
    <x v="1"/>
    <x v="0"/>
    <x v="0"/>
    <x v="9"/>
    <x v="10"/>
  </r>
  <r>
    <n v="3335"/>
    <x v="104"/>
    <x v="1"/>
    <x v="103"/>
    <x v="0"/>
    <x v="1"/>
    <x v="0"/>
    <x v="1"/>
    <x v="1"/>
    <x v="1"/>
    <x v="1"/>
    <x v="5"/>
    <x v="11"/>
  </r>
  <r>
    <n v="3336"/>
    <x v="105"/>
    <x v="1"/>
    <x v="104"/>
    <x v="0"/>
    <x v="1"/>
    <x v="0"/>
    <x v="1"/>
    <x v="1"/>
    <x v="1"/>
    <x v="1"/>
    <x v="1"/>
    <x v="1"/>
  </r>
  <r>
    <n v="3337"/>
    <x v="106"/>
    <x v="0"/>
    <x v="105"/>
    <x v="1"/>
    <x v="0"/>
    <x v="2"/>
    <x v="0"/>
    <x v="0"/>
    <x v="0"/>
    <x v="0"/>
    <x v="10"/>
    <x v="12"/>
  </r>
  <r>
    <n v="3338"/>
    <x v="107"/>
    <x v="2"/>
    <x v="106"/>
    <x v="0"/>
    <x v="2"/>
    <x v="1"/>
    <x v="1"/>
    <x v="1"/>
    <x v="0"/>
    <x v="0"/>
    <x v="2"/>
    <x v="2"/>
  </r>
  <r>
    <n v="3339"/>
    <x v="108"/>
    <x v="1"/>
    <x v="107"/>
    <x v="1"/>
    <x v="1"/>
    <x v="2"/>
    <x v="1"/>
    <x v="1"/>
    <x v="1"/>
    <x v="1"/>
    <x v="4"/>
    <x v="4"/>
  </r>
  <r>
    <n v="3340"/>
    <x v="109"/>
    <x v="0"/>
    <x v="108"/>
    <x v="0"/>
    <x v="0"/>
    <x v="0"/>
    <x v="0"/>
    <x v="0"/>
    <x v="0"/>
    <x v="0"/>
    <x v="6"/>
    <x v="14"/>
  </r>
  <r>
    <n v="3341"/>
    <x v="110"/>
    <x v="2"/>
    <x v="109"/>
    <x v="1"/>
    <x v="2"/>
    <x v="0"/>
    <x v="1"/>
    <x v="1"/>
    <x v="0"/>
    <x v="0"/>
    <x v="0"/>
    <x v="13"/>
  </r>
  <r>
    <n v="3342"/>
    <x v="111"/>
    <x v="1"/>
    <x v="110"/>
    <x v="0"/>
    <x v="1"/>
    <x v="1"/>
    <x v="1"/>
    <x v="1"/>
    <x v="1"/>
    <x v="1"/>
    <x v="1"/>
    <x v="1"/>
  </r>
  <r>
    <n v="3343"/>
    <x v="112"/>
    <x v="0"/>
    <x v="111"/>
    <x v="1"/>
    <x v="0"/>
    <x v="2"/>
    <x v="0"/>
    <x v="0"/>
    <x v="0"/>
    <x v="0"/>
    <x v="7"/>
    <x v="8"/>
  </r>
  <r>
    <n v="3344"/>
    <x v="113"/>
    <x v="2"/>
    <x v="112"/>
    <x v="0"/>
    <x v="2"/>
    <x v="2"/>
    <x v="1"/>
    <x v="1"/>
    <x v="0"/>
    <x v="0"/>
    <x v="9"/>
    <x v="10"/>
  </r>
  <r>
    <n v="3345"/>
    <x v="114"/>
    <x v="1"/>
    <x v="113"/>
    <x v="1"/>
    <x v="1"/>
    <x v="0"/>
    <x v="1"/>
    <x v="1"/>
    <x v="1"/>
    <x v="1"/>
    <x v="5"/>
    <x v="11"/>
  </r>
  <r>
    <n v="3346"/>
    <x v="115"/>
    <x v="0"/>
    <x v="114"/>
    <x v="0"/>
    <x v="0"/>
    <x v="1"/>
    <x v="0"/>
    <x v="0"/>
    <x v="0"/>
    <x v="0"/>
    <x v="0"/>
    <x v="0"/>
  </r>
  <r>
    <n v="3347"/>
    <x v="116"/>
    <x v="2"/>
    <x v="115"/>
    <x v="1"/>
    <x v="2"/>
    <x v="0"/>
    <x v="1"/>
    <x v="1"/>
    <x v="0"/>
    <x v="0"/>
    <x v="2"/>
    <x v="2"/>
  </r>
  <r>
    <n v="3348"/>
    <x v="117"/>
    <x v="1"/>
    <x v="116"/>
    <x v="0"/>
    <x v="1"/>
    <x v="2"/>
    <x v="1"/>
    <x v="1"/>
    <x v="1"/>
    <x v="1"/>
    <x v="1"/>
    <x v="1"/>
  </r>
  <r>
    <n v="3349"/>
    <x v="93"/>
    <x v="0"/>
    <x v="117"/>
    <x v="1"/>
    <x v="0"/>
    <x v="0"/>
    <x v="0"/>
    <x v="0"/>
    <x v="0"/>
    <x v="0"/>
    <x v="3"/>
    <x v="3"/>
  </r>
  <r>
    <n v="3350"/>
    <x v="118"/>
    <x v="2"/>
    <x v="118"/>
    <x v="0"/>
    <x v="2"/>
    <x v="1"/>
    <x v="1"/>
    <x v="1"/>
    <x v="0"/>
    <x v="0"/>
    <x v="6"/>
    <x v="7"/>
  </r>
  <r>
    <n v="3351"/>
    <x v="119"/>
    <x v="1"/>
    <x v="119"/>
    <x v="1"/>
    <x v="1"/>
    <x v="0"/>
    <x v="1"/>
    <x v="1"/>
    <x v="1"/>
    <x v="1"/>
    <x v="4"/>
    <x v="4"/>
  </r>
  <r>
    <n v="3352"/>
    <x v="120"/>
    <x v="0"/>
    <x v="120"/>
    <x v="0"/>
    <x v="0"/>
    <x v="2"/>
    <x v="0"/>
    <x v="0"/>
    <x v="0"/>
    <x v="0"/>
    <x v="10"/>
    <x v="12"/>
  </r>
  <r>
    <n v="3353"/>
    <x v="121"/>
    <x v="2"/>
    <x v="121"/>
    <x v="1"/>
    <x v="2"/>
    <x v="0"/>
    <x v="1"/>
    <x v="1"/>
    <x v="0"/>
    <x v="0"/>
    <x v="2"/>
    <x v="2"/>
  </r>
  <r>
    <n v="3354"/>
    <x v="122"/>
    <x v="1"/>
    <x v="122"/>
    <x v="0"/>
    <x v="1"/>
    <x v="1"/>
    <x v="1"/>
    <x v="1"/>
    <x v="1"/>
    <x v="1"/>
    <x v="1"/>
    <x v="1"/>
  </r>
  <r>
    <n v="3355"/>
    <x v="123"/>
    <x v="0"/>
    <x v="123"/>
    <x v="1"/>
    <x v="0"/>
    <x v="0"/>
    <x v="0"/>
    <x v="0"/>
    <x v="0"/>
    <x v="0"/>
    <x v="7"/>
    <x v="8"/>
  </r>
  <r>
    <n v="3356"/>
    <x v="124"/>
    <x v="2"/>
    <x v="124"/>
    <x v="0"/>
    <x v="2"/>
    <x v="2"/>
    <x v="1"/>
    <x v="1"/>
    <x v="0"/>
    <x v="0"/>
    <x v="6"/>
    <x v="7"/>
  </r>
  <r>
    <n v="3357"/>
    <x v="125"/>
    <x v="1"/>
    <x v="125"/>
    <x v="1"/>
    <x v="1"/>
    <x v="0"/>
    <x v="1"/>
    <x v="1"/>
    <x v="1"/>
    <x v="1"/>
    <x v="4"/>
    <x v="4"/>
  </r>
  <r>
    <n v="3358"/>
    <x v="126"/>
    <x v="0"/>
    <x v="126"/>
    <x v="0"/>
    <x v="0"/>
    <x v="1"/>
    <x v="0"/>
    <x v="0"/>
    <x v="0"/>
    <x v="0"/>
    <x v="3"/>
    <x v="3"/>
  </r>
  <r>
    <n v="3359"/>
    <x v="127"/>
    <x v="2"/>
    <x v="127"/>
    <x v="1"/>
    <x v="2"/>
    <x v="0"/>
    <x v="1"/>
    <x v="1"/>
    <x v="0"/>
    <x v="0"/>
    <x v="2"/>
    <x v="2"/>
  </r>
  <r>
    <n v="3360"/>
    <x v="128"/>
    <x v="1"/>
    <x v="128"/>
    <x v="0"/>
    <x v="1"/>
    <x v="2"/>
    <x v="1"/>
    <x v="1"/>
    <x v="1"/>
    <x v="1"/>
    <x v="1"/>
    <x v="1"/>
  </r>
  <r>
    <n v="3361"/>
    <x v="129"/>
    <x v="0"/>
    <x v="129"/>
    <x v="1"/>
    <x v="0"/>
    <x v="0"/>
    <x v="0"/>
    <x v="0"/>
    <x v="0"/>
    <x v="0"/>
    <x v="6"/>
    <x v="14"/>
  </r>
  <r>
    <n v="3362"/>
    <x v="130"/>
    <x v="2"/>
    <x v="130"/>
    <x v="0"/>
    <x v="2"/>
    <x v="1"/>
    <x v="1"/>
    <x v="1"/>
    <x v="0"/>
    <x v="0"/>
    <x v="6"/>
    <x v="7"/>
  </r>
  <r>
    <n v="3363"/>
    <x v="131"/>
    <x v="1"/>
    <x v="131"/>
    <x v="1"/>
    <x v="1"/>
    <x v="0"/>
    <x v="1"/>
    <x v="1"/>
    <x v="1"/>
    <x v="1"/>
    <x v="4"/>
    <x v="4"/>
  </r>
  <r>
    <n v="3364"/>
    <x v="132"/>
    <x v="0"/>
    <x v="132"/>
    <x v="0"/>
    <x v="0"/>
    <x v="2"/>
    <x v="0"/>
    <x v="0"/>
    <x v="0"/>
    <x v="0"/>
    <x v="10"/>
    <x v="12"/>
  </r>
  <r>
    <n v="3365"/>
    <x v="133"/>
    <x v="2"/>
    <x v="133"/>
    <x v="1"/>
    <x v="2"/>
    <x v="0"/>
    <x v="1"/>
    <x v="1"/>
    <x v="0"/>
    <x v="0"/>
    <x v="2"/>
    <x v="2"/>
  </r>
  <r>
    <n v="3366"/>
    <x v="134"/>
    <x v="1"/>
    <x v="134"/>
    <x v="0"/>
    <x v="1"/>
    <x v="0"/>
    <x v="1"/>
    <x v="1"/>
    <x v="1"/>
    <x v="1"/>
    <x v="1"/>
    <x v="1"/>
  </r>
  <r>
    <n v="3367"/>
    <x v="135"/>
    <x v="0"/>
    <x v="135"/>
    <x v="1"/>
    <x v="0"/>
    <x v="2"/>
    <x v="0"/>
    <x v="0"/>
    <x v="0"/>
    <x v="0"/>
    <x v="10"/>
    <x v="12"/>
  </r>
  <r>
    <n v="3368"/>
    <x v="136"/>
    <x v="2"/>
    <x v="136"/>
    <x v="0"/>
    <x v="2"/>
    <x v="1"/>
    <x v="1"/>
    <x v="1"/>
    <x v="0"/>
    <x v="0"/>
    <x v="2"/>
    <x v="2"/>
  </r>
  <r>
    <n v="3369"/>
    <x v="137"/>
    <x v="1"/>
    <x v="137"/>
    <x v="1"/>
    <x v="1"/>
    <x v="2"/>
    <x v="1"/>
    <x v="1"/>
    <x v="1"/>
    <x v="1"/>
    <x v="4"/>
    <x v="4"/>
  </r>
  <r>
    <n v="3370"/>
    <x v="138"/>
    <x v="0"/>
    <x v="138"/>
    <x v="0"/>
    <x v="0"/>
    <x v="0"/>
    <x v="0"/>
    <x v="0"/>
    <x v="0"/>
    <x v="0"/>
    <x v="6"/>
    <x v="14"/>
  </r>
  <r>
    <n v="3371"/>
    <x v="139"/>
    <x v="2"/>
    <x v="139"/>
    <x v="1"/>
    <x v="2"/>
    <x v="0"/>
    <x v="1"/>
    <x v="1"/>
    <x v="0"/>
    <x v="0"/>
    <x v="0"/>
    <x v="13"/>
  </r>
  <r>
    <n v="3372"/>
    <x v="140"/>
    <x v="1"/>
    <x v="140"/>
    <x v="0"/>
    <x v="1"/>
    <x v="1"/>
    <x v="1"/>
    <x v="1"/>
    <x v="1"/>
    <x v="1"/>
    <x v="1"/>
    <x v="1"/>
  </r>
  <r>
    <n v="3373"/>
    <x v="141"/>
    <x v="0"/>
    <x v="141"/>
    <x v="1"/>
    <x v="0"/>
    <x v="2"/>
    <x v="0"/>
    <x v="0"/>
    <x v="0"/>
    <x v="0"/>
    <x v="7"/>
    <x v="8"/>
  </r>
  <r>
    <n v="3374"/>
    <x v="142"/>
    <x v="2"/>
    <x v="142"/>
    <x v="0"/>
    <x v="2"/>
    <x v="2"/>
    <x v="1"/>
    <x v="1"/>
    <x v="0"/>
    <x v="0"/>
    <x v="9"/>
    <x v="10"/>
  </r>
  <r>
    <n v="3375"/>
    <x v="143"/>
    <x v="1"/>
    <x v="143"/>
    <x v="1"/>
    <x v="1"/>
    <x v="0"/>
    <x v="1"/>
    <x v="1"/>
    <x v="1"/>
    <x v="1"/>
    <x v="5"/>
    <x v="11"/>
  </r>
  <r>
    <n v="3376"/>
    <x v="144"/>
    <x v="0"/>
    <x v="144"/>
    <x v="0"/>
    <x v="0"/>
    <x v="1"/>
    <x v="0"/>
    <x v="0"/>
    <x v="0"/>
    <x v="0"/>
    <x v="0"/>
    <x v="0"/>
  </r>
  <r>
    <n v="3377"/>
    <x v="145"/>
    <x v="2"/>
    <x v="145"/>
    <x v="1"/>
    <x v="2"/>
    <x v="0"/>
    <x v="1"/>
    <x v="1"/>
    <x v="0"/>
    <x v="0"/>
    <x v="2"/>
    <x v="2"/>
  </r>
  <r>
    <n v="3378"/>
    <x v="146"/>
    <x v="1"/>
    <x v="146"/>
    <x v="0"/>
    <x v="1"/>
    <x v="2"/>
    <x v="1"/>
    <x v="1"/>
    <x v="1"/>
    <x v="1"/>
    <x v="1"/>
    <x v="1"/>
  </r>
  <r>
    <n v="3379"/>
    <x v="147"/>
    <x v="0"/>
    <x v="147"/>
    <x v="1"/>
    <x v="0"/>
    <x v="0"/>
    <x v="0"/>
    <x v="0"/>
    <x v="0"/>
    <x v="0"/>
    <x v="3"/>
    <x v="3"/>
  </r>
  <r>
    <n v="3380"/>
    <x v="148"/>
    <x v="2"/>
    <x v="148"/>
    <x v="0"/>
    <x v="2"/>
    <x v="1"/>
    <x v="1"/>
    <x v="1"/>
    <x v="0"/>
    <x v="0"/>
    <x v="6"/>
    <x v="7"/>
  </r>
  <r>
    <n v="3381"/>
    <x v="149"/>
    <x v="1"/>
    <x v="149"/>
    <x v="1"/>
    <x v="1"/>
    <x v="0"/>
    <x v="1"/>
    <x v="1"/>
    <x v="1"/>
    <x v="1"/>
    <x v="4"/>
    <x v="4"/>
  </r>
  <r>
    <n v="3382"/>
    <x v="150"/>
    <x v="0"/>
    <x v="150"/>
    <x v="0"/>
    <x v="0"/>
    <x v="2"/>
    <x v="0"/>
    <x v="0"/>
    <x v="0"/>
    <x v="0"/>
    <x v="10"/>
    <x v="12"/>
  </r>
  <r>
    <n v="3383"/>
    <x v="151"/>
    <x v="2"/>
    <x v="151"/>
    <x v="1"/>
    <x v="2"/>
    <x v="0"/>
    <x v="1"/>
    <x v="1"/>
    <x v="0"/>
    <x v="0"/>
    <x v="2"/>
    <x v="2"/>
  </r>
  <r>
    <n v="3384"/>
    <x v="152"/>
    <x v="1"/>
    <x v="152"/>
    <x v="0"/>
    <x v="1"/>
    <x v="1"/>
    <x v="1"/>
    <x v="1"/>
    <x v="1"/>
    <x v="1"/>
    <x v="1"/>
    <x v="1"/>
  </r>
  <r>
    <n v="3385"/>
    <x v="153"/>
    <x v="0"/>
    <x v="153"/>
    <x v="1"/>
    <x v="0"/>
    <x v="0"/>
    <x v="0"/>
    <x v="0"/>
    <x v="0"/>
    <x v="0"/>
    <x v="7"/>
    <x v="8"/>
  </r>
  <r>
    <n v="3386"/>
    <x v="154"/>
    <x v="2"/>
    <x v="154"/>
    <x v="0"/>
    <x v="2"/>
    <x v="2"/>
    <x v="1"/>
    <x v="1"/>
    <x v="0"/>
    <x v="0"/>
    <x v="6"/>
    <x v="7"/>
  </r>
  <r>
    <n v="3387"/>
    <x v="155"/>
    <x v="1"/>
    <x v="155"/>
    <x v="1"/>
    <x v="1"/>
    <x v="0"/>
    <x v="1"/>
    <x v="1"/>
    <x v="1"/>
    <x v="1"/>
    <x v="4"/>
    <x v="4"/>
  </r>
  <r>
    <n v="3388"/>
    <x v="156"/>
    <x v="0"/>
    <x v="156"/>
    <x v="0"/>
    <x v="0"/>
    <x v="1"/>
    <x v="0"/>
    <x v="0"/>
    <x v="0"/>
    <x v="0"/>
    <x v="3"/>
    <x v="3"/>
  </r>
  <r>
    <n v="3389"/>
    <x v="157"/>
    <x v="2"/>
    <x v="157"/>
    <x v="1"/>
    <x v="2"/>
    <x v="0"/>
    <x v="1"/>
    <x v="1"/>
    <x v="0"/>
    <x v="0"/>
    <x v="2"/>
    <x v="2"/>
  </r>
  <r>
    <n v="3390"/>
    <x v="158"/>
    <x v="1"/>
    <x v="158"/>
    <x v="0"/>
    <x v="1"/>
    <x v="2"/>
    <x v="1"/>
    <x v="1"/>
    <x v="1"/>
    <x v="1"/>
    <x v="1"/>
    <x v="1"/>
  </r>
  <r>
    <n v="3391"/>
    <x v="58"/>
    <x v="0"/>
    <x v="159"/>
    <x v="1"/>
    <x v="0"/>
    <x v="0"/>
    <x v="0"/>
    <x v="0"/>
    <x v="0"/>
    <x v="0"/>
    <x v="6"/>
    <x v="14"/>
  </r>
  <r>
    <n v="3392"/>
    <x v="159"/>
    <x v="2"/>
    <x v="160"/>
    <x v="0"/>
    <x v="2"/>
    <x v="1"/>
    <x v="1"/>
    <x v="1"/>
    <x v="0"/>
    <x v="0"/>
    <x v="6"/>
    <x v="7"/>
  </r>
  <r>
    <n v="3393"/>
    <x v="160"/>
    <x v="1"/>
    <x v="161"/>
    <x v="1"/>
    <x v="1"/>
    <x v="0"/>
    <x v="1"/>
    <x v="1"/>
    <x v="1"/>
    <x v="1"/>
    <x v="4"/>
    <x v="4"/>
  </r>
  <r>
    <n v="3394"/>
    <x v="161"/>
    <x v="0"/>
    <x v="162"/>
    <x v="0"/>
    <x v="0"/>
    <x v="2"/>
    <x v="0"/>
    <x v="0"/>
    <x v="0"/>
    <x v="0"/>
    <x v="10"/>
    <x v="12"/>
  </r>
  <r>
    <n v="3395"/>
    <x v="162"/>
    <x v="2"/>
    <x v="163"/>
    <x v="1"/>
    <x v="2"/>
    <x v="0"/>
    <x v="1"/>
    <x v="1"/>
    <x v="0"/>
    <x v="0"/>
    <x v="2"/>
    <x v="2"/>
  </r>
  <r>
    <n v="3396"/>
    <x v="163"/>
    <x v="1"/>
    <x v="164"/>
    <x v="0"/>
    <x v="1"/>
    <x v="1"/>
    <x v="1"/>
    <x v="1"/>
    <x v="1"/>
    <x v="1"/>
    <x v="1"/>
    <x v="1"/>
  </r>
  <r>
    <n v="3397"/>
    <x v="90"/>
    <x v="0"/>
    <x v="165"/>
    <x v="1"/>
    <x v="0"/>
    <x v="0"/>
    <x v="0"/>
    <x v="0"/>
    <x v="0"/>
    <x v="0"/>
    <x v="7"/>
    <x v="8"/>
  </r>
  <r>
    <n v="3398"/>
    <x v="164"/>
    <x v="2"/>
    <x v="166"/>
    <x v="0"/>
    <x v="2"/>
    <x v="2"/>
    <x v="1"/>
    <x v="1"/>
    <x v="0"/>
    <x v="0"/>
    <x v="6"/>
    <x v="7"/>
  </r>
  <r>
    <n v="3399"/>
    <x v="165"/>
    <x v="1"/>
    <x v="167"/>
    <x v="1"/>
    <x v="1"/>
    <x v="0"/>
    <x v="1"/>
    <x v="1"/>
    <x v="1"/>
    <x v="1"/>
    <x v="4"/>
    <x v="4"/>
  </r>
  <r>
    <n v="3400"/>
    <x v="166"/>
    <x v="0"/>
    <x v="168"/>
    <x v="0"/>
    <x v="0"/>
    <x v="1"/>
    <x v="0"/>
    <x v="0"/>
    <x v="0"/>
    <x v="0"/>
    <x v="0"/>
    <x v="0"/>
  </r>
  <r>
    <n v="3401"/>
    <x v="167"/>
    <x v="2"/>
    <x v="169"/>
    <x v="1"/>
    <x v="2"/>
    <x v="0"/>
    <x v="1"/>
    <x v="1"/>
    <x v="0"/>
    <x v="0"/>
    <x v="2"/>
    <x v="2"/>
  </r>
  <r>
    <n v="3402"/>
    <x v="168"/>
    <x v="1"/>
    <x v="170"/>
    <x v="0"/>
    <x v="1"/>
    <x v="2"/>
    <x v="1"/>
    <x v="1"/>
    <x v="1"/>
    <x v="1"/>
    <x v="1"/>
    <x v="1"/>
  </r>
  <r>
    <n v="3403"/>
    <x v="169"/>
    <x v="0"/>
    <x v="171"/>
    <x v="1"/>
    <x v="0"/>
    <x v="0"/>
    <x v="0"/>
    <x v="0"/>
    <x v="0"/>
    <x v="0"/>
    <x v="3"/>
    <x v="3"/>
  </r>
  <r>
    <n v="3404"/>
    <x v="170"/>
    <x v="2"/>
    <x v="172"/>
    <x v="0"/>
    <x v="2"/>
    <x v="1"/>
    <x v="1"/>
    <x v="1"/>
    <x v="0"/>
    <x v="0"/>
    <x v="6"/>
    <x v="7"/>
  </r>
  <r>
    <n v="3405"/>
    <x v="171"/>
    <x v="1"/>
    <x v="173"/>
    <x v="1"/>
    <x v="1"/>
    <x v="0"/>
    <x v="1"/>
    <x v="1"/>
    <x v="1"/>
    <x v="1"/>
    <x v="4"/>
    <x v="4"/>
  </r>
  <r>
    <n v="3406"/>
    <x v="172"/>
    <x v="1"/>
    <x v="174"/>
    <x v="0"/>
    <x v="1"/>
    <x v="0"/>
    <x v="1"/>
    <x v="1"/>
    <x v="1"/>
    <x v="1"/>
    <x v="1"/>
    <x v="1"/>
  </r>
  <r>
    <n v="3407"/>
    <x v="173"/>
    <x v="0"/>
    <x v="175"/>
    <x v="1"/>
    <x v="0"/>
    <x v="2"/>
    <x v="0"/>
    <x v="0"/>
    <x v="0"/>
    <x v="0"/>
    <x v="10"/>
    <x v="12"/>
  </r>
  <r>
    <n v="3408"/>
    <x v="174"/>
    <x v="2"/>
    <x v="176"/>
    <x v="0"/>
    <x v="2"/>
    <x v="1"/>
    <x v="1"/>
    <x v="1"/>
    <x v="0"/>
    <x v="0"/>
    <x v="2"/>
    <x v="2"/>
  </r>
  <r>
    <n v="3409"/>
    <x v="175"/>
    <x v="1"/>
    <x v="177"/>
    <x v="1"/>
    <x v="1"/>
    <x v="2"/>
    <x v="1"/>
    <x v="1"/>
    <x v="1"/>
    <x v="1"/>
    <x v="4"/>
    <x v="4"/>
  </r>
  <r>
    <n v="3410"/>
    <x v="176"/>
    <x v="0"/>
    <x v="178"/>
    <x v="0"/>
    <x v="0"/>
    <x v="0"/>
    <x v="0"/>
    <x v="0"/>
    <x v="0"/>
    <x v="0"/>
    <x v="6"/>
    <x v="14"/>
  </r>
  <r>
    <n v="3411"/>
    <x v="177"/>
    <x v="2"/>
    <x v="179"/>
    <x v="1"/>
    <x v="2"/>
    <x v="0"/>
    <x v="1"/>
    <x v="1"/>
    <x v="0"/>
    <x v="0"/>
    <x v="0"/>
    <x v="13"/>
  </r>
  <r>
    <n v="3412"/>
    <x v="178"/>
    <x v="1"/>
    <x v="180"/>
    <x v="0"/>
    <x v="1"/>
    <x v="1"/>
    <x v="1"/>
    <x v="1"/>
    <x v="1"/>
    <x v="1"/>
    <x v="1"/>
    <x v="1"/>
  </r>
  <r>
    <n v="3413"/>
    <x v="179"/>
    <x v="0"/>
    <x v="181"/>
    <x v="1"/>
    <x v="0"/>
    <x v="2"/>
    <x v="0"/>
    <x v="0"/>
    <x v="0"/>
    <x v="0"/>
    <x v="7"/>
    <x v="8"/>
  </r>
  <r>
    <n v="3414"/>
    <x v="180"/>
    <x v="2"/>
    <x v="182"/>
    <x v="0"/>
    <x v="2"/>
    <x v="2"/>
    <x v="1"/>
    <x v="1"/>
    <x v="0"/>
    <x v="0"/>
    <x v="9"/>
    <x v="10"/>
  </r>
  <r>
    <n v="3415"/>
    <x v="181"/>
    <x v="1"/>
    <x v="183"/>
    <x v="1"/>
    <x v="1"/>
    <x v="0"/>
    <x v="1"/>
    <x v="1"/>
    <x v="1"/>
    <x v="1"/>
    <x v="5"/>
    <x v="11"/>
  </r>
  <r>
    <n v="3416"/>
    <x v="182"/>
    <x v="0"/>
    <x v="184"/>
    <x v="0"/>
    <x v="0"/>
    <x v="1"/>
    <x v="0"/>
    <x v="0"/>
    <x v="0"/>
    <x v="0"/>
    <x v="0"/>
    <x v="0"/>
  </r>
  <r>
    <n v="3417"/>
    <x v="183"/>
    <x v="2"/>
    <x v="185"/>
    <x v="1"/>
    <x v="2"/>
    <x v="0"/>
    <x v="1"/>
    <x v="1"/>
    <x v="0"/>
    <x v="0"/>
    <x v="2"/>
    <x v="2"/>
  </r>
  <r>
    <n v="3418"/>
    <x v="184"/>
    <x v="1"/>
    <x v="186"/>
    <x v="0"/>
    <x v="1"/>
    <x v="2"/>
    <x v="1"/>
    <x v="1"/>
    <x v="1"/>
    <x v="1"/>
    <x v="1"/>
    <x v="1"/>
  </r>
  <r>
    <n v="3419"/>
    <x v="185"/>
    <x v="0"/>
    <x v="187"/>
    <x v="1"/>
    <x v="0"/>
    <x v="0"/>
    <x v="0"/>
    <x v="0"/>
    <x v="0"/>
    <x v="0"/>
    <x v="3"/>
    <x v="3"/>
  </r>
  <r>
    <n v="3420"/>
    <x v="186"/>
    <x v="2"/>
    <x v="188"/>
    <x v="0"/>
    <x v="2"/>
    <x v="1"/>
    <x v="1"/>
    <x v="1"/>
    <x v="0"/>
    <x v="0"/>
    <x v="6"/>
    <x v="7"/>
  </r>
  <r>
    <n v="3421"/>
    <x v="15"/>
    <x v="1"/>
    <x v="189"/>
    <x v="1"/>
    <x v="1"/>
    <x v="0"/>
    <x v="1"/>
    <x v="1"/>
    <x v="1"/>
    <x v="1"/>
    <x v="4"/>
    <x v="4"/>
  </r>
  <r>
    <n v="3422"/>
    <x v="187"/>
    <x v="0"/>
    <x v="190"/>
    <x v="0"/>
    <x v="0"/>
    <x v="2"/>
    <x v="0"/>
    <x v="0"/>
    <x v="0"/>
    <x v="0"/>
    <x v="10"/>
    <x v="12"/>
  </r>
  <r>
    <n v="3423"/>
    <x v="188"/>
    <x v="2"/>
    <x v="191"/>
    <x v="1"/>
    <x v="2"/>
    <x v="0"/>
    <x v="1"/>
    <x v="1"/>
    <x v="0"/>
    <x v="0"/>
    <x v="2"/>
    <x v="2"/>
  </r>
  <r>
    <n v="3424"/>
    <x v="14"/>
    <x v="1"/>
    <x v="192"/>
    <x v="0"/>
    <x v="1"/>
    <x v="1"/>
    <x v="1"/>
    <x v="1"/>
    <x v="1"/>
    <x v="1"/>
    <x v="1"/>
    <x v="1"/>
  </r>
  <r>
    <n v="3425"/>
    <x v="189"/>
    <x v="0"/>
    <x v="193"/>
    <x v="1"/>
    <x v="0"/>
    <x v="0"/>
    <x v="0"/>
    <x v="0"/>
    <x v="0"/>
    <x v="0"/>
    <x v="7"/>
    <x v="8"/>
  </r>
  <r>
    <n v="3426"/>
    <x v="167"/>
    <x v="2"/>
    <x v="194"/>
    <x v="0"/>
    <x v="2"/>
    <x v="2"/>
    <x v="1"/>
    <x v="1"/>
    <x v="0"/>
    <x v="0"/>
    <x v="6"/>
    <x v="7"/>
  </r>
  <r>
    <n v="3427"/>
    <x v="190"/>
    <x v="1"/>
    <x v="195"/>
    <x v="1"/>
    <x v="1"/>
    <x v="0"/>
    <x v="1"/>
    <x v="1"/>
    <x v="1"/>
    <x v="1"/>
    <x v="4"/>
    <x v="4"/>
  </r>
  <r>
    <n v="3428"/>
    <x v="191"/>
    <x v="0"/>
    <x v="196"/>
    <x v="0"/>
    <x v="0"/>
    <x v="1"/>
    <x v="0"/>
    <x v="0"/>
    <x v="0"/>
    <x v="0"/>
    <x v="3"/>
    <x v="3"/>
  </r>
  <r>
    <n v="3429"/>
    <x v="192"/>
    <x v="2"/>
    <x v="197"/>
    <x v="1"/>
    <x v="2"/>
    <x v="0"/>
    <x v="1"/>
    <x v="1"/>
    <x v="0"/>
    <x v="0"/>
    <x v="2"/>
    <x v="2"/>
  </r>
  <r>
    <n v="3430"/>
    <x v="193"/>
    <x v="1"/>
    <x v="198"/>
    <x v="0"/>
    <x v="1"/>
    <x v="2"/>
    <x v="1"/>
    <x v="1"/>
    <x v="1"/>
    <x v="1"/>
    <x v="1"/>
    <x v="1"/>
  </r>
  <r>
    <n v="3431"/>
    <x v="194"/>
    <x v="0"/>
    <x v="199"/>
    <x v="1"/>
    <x v="0"/>
    <x v="0"/>
    <x v="0"/>
    <x v="0"/>
    <x v="0"/>
    <x v="0"/>
    <x v="6"/>
    <x v="14"/>
  </r>
  <r>
    <n v="3432"/>
    <x v="195"/>
    <x v="2"/>
    <x v="200"/>
    <x v="0"/>
    <x v="2"/>
    <x v="1"/>
    <x v="1"/>
    <x v="1"/>
    <x v="0"/>
    <x v="0"/>
    <x v="6"/>
    <x v="7"/>
  </r>
  <r>
    <n v="3433"/>
    <x v="196"/>
    <x v="1"/>
    <x v="201"/>
    <x v="1"/>
    <x v="1"/>
    <x v="0"/>
    <x v="1"/>
    <x v="1"/>
    <x v="1"/>
    <x v="1"/>
    <x v="4"/>
    <x v="4"/>
  </r>
  <r>
    <n v="3434"/>
    <x v="197"/>
    <x v="0"/>
    <x v="202"/>
    <x v="0"/>
    <x v="0"/>
    <x v="2"/>
    <x v="0"/>
    <x v="0"/>
    <x v="0"/>
    <x v="0"/>
    <x v="10"/>
    <x v="12"/>
  </r>
  <r>
    <n v="3435"/>
    <x v="198"/>
    <x v="2"/>
    <x v="203"/>
    <x v="1"/>
    <x v="2"/>
    <x v="0"/>
    <x v="1"/>
    <x v="1"/>
    <x v="0"/>
    <x v="0"/>
    <x v="2"/>
    <x v="2"/>
  </r>
  <r>
    <n v="3436"/>
    <x v="199"/>
    <x v="1"/>
    <x v="204"/>
    <x v="0"/>
    <x v="1"/>
    <x v="0"/>
    <x v="1"/>
    <x v="1"/>
    <x v="1"/>
    <x v="1"/>
    <x v="1"/>
    <x v="1"/>
  </r>
  <r>
    <n v="3437"/>
    <x v="200"/>
    <x v="0"/>
    <x v="205"/>
    <x v="1"/>
    <x v="0"/>
    <x v="2"/>
    <x v="0"/>
    <x v="0"/>
    <x v="0"/>
    <x v="0"/>
    <x v="10"/>
    <x v="12"/>
  </r>
  <r>
    <n v="3438"/>
    <x v="201"/>
    <x v="2"/>
    <x v="206"/>
    <x v="0"/>
    <x v="2"/>
    <x v="1"/>
    <x v="1"/>
    <x v="1"/>
    <x v="0"/>
    <x v="0"/>
    <x v="2"/>
    <x v="2"/>
  </r>
  <r>
    <n v="3439"/>
    <x v="202"/>
    <x v="1"/>
    <x v="207"/>
    <x v="1"/>
    <x v="1"/>
    <x v="2"/>
    <x v="1"/>
    <x v="1"/>
    <x v="1"/>
    <x v="1"/>
    <x v="4"/>
    <x v="4"/>
  </r>
  <r>
    <n v="3440"/>
    <x v="203"/>
    <x v="0"/>
    <x v="208"/>
    <x v="0"/>
    <x v="0"/>
    <x v="0"/>
    <x v="0"/>
    <x v="0"/>
    <x v="0"/>
    <x v="0"/>
    <x v="6"/>
    <x v="14"/>
  </r>
  <r>
    <n v="3441"/>
    <x v="204"/>
    <x v="2"/>
    <x v="209"/>
    <x v="1"/>
    <x v="2"/>
    <x v="0"/>
    <x v="1"/>
    <x v="1"/>
    <x v="0"/>
    <x v="0"/>
    <x v="0"/>
    <x v="13"/>
  </r>
  <r>
    <n v="3442"/>
    <x v="205"/>
    <x v="1"/>
    <x v="210"/>
    <x v="0"/>
    <x v="1"/>
    <x v="1"/>
    <x v="1"/>
    <x v="1"/>
    <x v="1"/>
    <x v="1"/>
    <x v="1"/>
    <x v="1"/>
  </r>
  <r>
    <n v="3443"/>
    <x v="206"/>
    <x v="0"/>
    <x v="211"/>
    <x v="1"/>
    <x v="0"/>
    <x v="2"/>
    <x v="0"/>
    <x v="0"/>
    <x v="0"/>
    <x v="0"/>
    <x v="7"/>
    <x v="8"/>
  </r>
  <r>
    <n v="3444"/>
    <x v="207"/>
    <x v="2"/>
    <x v="212"/>
    <x v="0"/>
    <x v="2"/>
    <x v="2"/>
    <x v="1"/>
    <x v="1"/>
    <x v="0"/>
    <x v="0"/>
    <x v="9"/>
    <x v="10"/>
  </r>
  <r>
    <n v="3445"/>
    <x v="37"/>
    <x v="1"/>
    <x v="213"/>
    <x v="1"/>
    <x v="1"/>
    <x v="0"/>
    <x v="1"/>
    <x v="1"/>
    <x v="1"/>
    <x v="1"/>
    <x v="5"/>
    <x v="11"/>
  </r>
  <r>
    <n v="3446"/>
    <x v="208"/>
    <x v="0"/>
    <x v="214"/>
    <x v="0"/>
    <x v="0"/>
    <x v="1"/>
    <x v="0"/>
    <x v="0"/>
    <x v="0"/>
    <x v="0"/>
    <x v="0"/>
    <x v="0"/>
  </r>
  <r>
    <n v="3447"/>
    <x v="209"/>
    <x v="2"/>
    <x v="215"/>
    <x v="1"/>
    <x v="2"/>
    <x v="0"/>
    <x v="1"/>
    <x v="1"/>
    <x v="0"/>
    <x v="0"/>
    <x v="2"/>
    <x v="2"/>
  </r>
  <r>
    <n v="3448"/>
    <x v="210"/>
    <x v="1"/>
    <x v="216"/>
    <x v="0"/>
    <x v="1"/>
    <x v="2"/>
    <x v="1"/>
    <x v="1"/>
    <x v="1"/>
    <x v="1"/>
    <x v="1"/>
    <x v="1"/>
  </r>
  <r>
    <n v="3449"/>
    <x v="211"/>
    <x v="0"/>
    <x v="217"/>
    <x v="1"/>
    <x v="0"/>
    <x v="0"/>
    <x v="0"/>
    <x v="0"/>
    <x v="0"/>
    <x v="0"/>
    <x v="3"/>
    <x v="3"/>
  </r>
  <r>
    <n v="3450"/>
    <x v="212"/>
    <x v="2"/>
    <x v="218"/>
    <x v="0"/>
    <x v="2"/>
    <x v="1"/>
    <x v="1"/>
    <x v="1"/>
    <x v="0"/>
    <x v="0"/>
    <x v="6"/>
    <x v="7"/>
  </r>
  <r>
    <n v="3451"/>
    <x v="213"/>
    <x v="1"/>
    <x v="219"/>
    <x v="1"/>
    <x v="1"/>
    <x v="0"/>
    <x v="1"/>
    <x v="1"/>
    <x v="1"/>
    <x v="1"/>
    <x v="4"/>
    <x v="4"/>
  </r>
  <r>
    <n v="3452"/>
    <x v="191"/>
    <x v="0"/>
    <x v="220"/>
    <x v="0"/>
    <x v="0"/>
    <x v="2"/>
    <x v="0"/>
    <x v="0"/>
    <x v="0"/>
    <x v="0"/>
    <x v="10"/>
    <x v="12"/>
  </r>
  <r>
    <n v="3453"/>
    <x v="45"/>
    <x v="2"/>
    <x v="221"/>
    <x v="1"/>
    <x v="2"/>
    <x v="0"/>
    <x v="1"/>
    <x v="1"/>
    <x v="0"/>
    <x v="0"/>
    <x v="2"/>
    <x v="2"/>
  </r>
  <r>
    <n v="3454"/>
    <x v="214"/>
    <x v="1"/>
    <x v="222"/>
    <x v="0"/>
    <x v="1"/>
    <x v="1"/>
    <x v="1"/>
    <x v="1"/>
    <x v="1"/>
    <x v="1"/>
    <x v="1"/>
    <x v="1"/>
  </r>
  <r>
    <n v="3455"/>
    <x v="215"/>
    <x v="0"/>
    <x v="223"/>
    <x v="1"/>
    <x v="0"/>
    <x v="0"/>
    <x v="0"/>
    <x v="0"/>
    <x v="0"/>
    <x v="0"/>
    <x v="7"/>
    <x v="8"/>
  </r>
  <r>
    <n v="3456"/>
    <x v="216"/>
    <x v="2"/>
    <x v="224"/>
    <x v="0"/>
    <x v="2"/>
    <x v="2"/>
    <x v="1"/>
    <x v="1"/>
    <x v="0"/>
    <x v="0"/>
    <x v="6"/>
    <x v="7"/>
  </r>
  <r>
    <n v="3457"/>
    <x v="217"/>
    <x v="1"/>
    <x v="225"/>
    <x v="1"/>
    <x v="1"/>
    <x v="0"/>
    <x v="1"/>
    <x v="1"/>
    <x v="1"/>
    <x v="1"/>
    <x v="4"/>
    <x v="4"/>
  </r>
  <r>
    <n v="3458"/>
    <x v="218"/>
    <x v="0"/>
    <x v="226"/>
    <x v="0"/>
    <x v="0"/>
    <x v="1"/>
    <x v="0"/>
    <x v="0"/>
    <x v="0"/>
    <x v="0"/>
    <x v="3"/>
    <x v="3"/>
  </r>
  <r>
    <n v="3459"/>
    <x v="219"/>
    <x v="2"/>
    <x v="227"/>
    <x v="1"/>
    <x v="2"/>
    <x v="0"/>
    <x v="1"/>
    <x v="1"/>
    <x v="0"/>
    <x v="0"/>
    <x v="2"/>
    <x v="2"/>
  </r>
  <r>
    <n v="3460"/>
    <x v="127"/>
    <x v="1"/>
    <x v="228"/>
    <x v="0"/>
    <x v="1"/>
    <x v="2"/>
    <x v="1"/>
    <x v="1"/>
    <x v="1"/>
    <x v="1"/>
    <x v="1"/>
    <x v="1"/>
  </r>
  <r>
    <n v="3461"/>
    <x v="220"/>
    <x v="0"/>
    <x v="229"/>
    <x v="1"/>
    <x v="0"/>
    <x v="0"/>
    <x v="0"/>
    <x v="0"/>
    <x v="0"/>
    <x v="0"/>
    <x v="6"/>
    <x v="14"/>
  </r>
  <r>
    <n v="3462"/>
    <x v="221"/>
    <x v="2"/>
    <x v="230"/>
    <x v="0"/>
    <x v="2"/>
    <x v="1"/>
    <x v="1"/>
    <x v="1"/>
    <x v="0"/>
    <x v="0"/>
    <x v="6"/>
    <x v="7"/>
  </r>
  <r>
    <n v="3463"/>
    <x v="222"/>
    <x v="1"/>
    <x v="231"/>
    <x v="1"/>
    <x v="1"/>
    <x v="0"/>
    <x v="1"/>
    <x v="1"/>
    <x v="1"/>
    <x v="1"/>
    <x v="4"/>
    <x v="4"/>
  </r>
  <r>
    <n v="3464"/>
    <x v="223"/>
    <x v="0"/>
    <x v="232"/>
    <x v="0"/>
    <x v="0"/>
    <x v="2"/>
    <x v="0"/>
    <x v="0"/>
    <x v="0"/>
    <x v="0"/>
    <x v="10"/>
    <x v="12"/>
  </r>
  <r>
    <n v="3465"/>
    <x v="224"/>
    <x v="2"/>
    <x v="233"/>
    <x v="1"/>
    <x v="2"/>
    <x v="0"/>
    <x v="1"/>
    <x v="1"/>
    <x v="0"/>
    <x v="0"/>
    <x v="2"/>
    <x v="2"/>
  </r>
  <r>
    <n v="3466"/>
    <x v="225"/>
    <x v="1"/>
    <x v="234"/>
    <x v="0"/>
    <x v="1"/>
    <x v="1"/>
    <x v="1"/>
    <x v="1"/>
    <x v="1"/>
    <x v="1"/>
    <x v="1"/>
    <x v="1"/>
  </r>
  <r>
    <n v="3467"/>
    <x v="226"/>
    <x v="0"/>
    <x v="235"/>
    <x v="1"/>
    <x v="0"/>
    <x v="0"/>
    <x v="0"/>
    <x v="0"/>
    <x v="0"/>
    <x v="0"/>
    <x v="6"/>
    <x v="14"/>
  </r>
  <r>
    <n v="3468"/>
    <x v="227"/>
    <x v="2"/>
    <x v="236"/>
    <x v="0"/>
    <x v="2"/>
    <x v="2"/>
    <x v="1"/>
    <x v="1"/>
    <x v="0"/>
    <x v="0"/>
    <x v="9"/>
    <x v="10"/>
  </r>
  <r>
    <n v="3469"/>
    <x v="228"/>
    <x v="1"/>
    <x v="237"/>
    <x v="1"/>
    <x v="1"/>
    <x v="0"/>
    <x v="1"/>
    <x v="1"/>
    <x v="1"/>
    <x v="1"/>
    <x v="5"/>
    <x v="11"/>
  </r>
  <r>
    <n v="3470"/>
    <x v="229"/>
    <x v="0"/>
    <x v="238"/>
    <x v="0"/>
    <x v="0"/>
    <x v="1"/>
    <x v="0"/>
    <x v="0"/>
    <x v="0"/>
    <x v="0"/>
    <x v="0"/>
    <x v="0"/>
  </r>
  <r>
    <n v="3471"/>
    <x v="230"/>
    <x v="2"/>
    <x v="239"/>
    <x v="1"/>
    <x v="2"/>
    <x v="0"/>
    <x v="1"/>
    <x v="1"/>
    <x v="0"/>
    <x v="0"/>
    <x v="2"/>
    <x v="2"/>
  </r>
  <r>
    <n v="3472"/>
    <x v="231"/>
    <x v="1"/>
    <x v="240"/>
    <x v="0"/>
    <x v="1"/>
    <x v="2"/>
    <x v="1"/>
    <x v="1"/>
    <x v="1"/>
    <x v="1"/>
    <x v="1"/>
    <x v="1"/>
  </r>
  <r>
    <n v="3473"/>
    <x v="140"/>
    <x v="0"/>
    <x v="241"/>
    <x v="1"/>
    <x v="0"/>
    <x v="0"/>
    <x v="0"/>
    <x v="0"/>
    <x v="0"/>
    <x v="0"/>
    <x v="3"/>
    <x v="3"/>
  </r>
  <r>
    <n v="3474"/>
    <x v="232"/>
    <x v="2"/>
    <x v="242"/>
    <x v="0"/>
    <x v="2"/>
    <x v="1"/>
    <x v="1"/>
    <x v="1"/>
    <x v="0"/>
    <x v="0"/>
    <x v="6"/>
    <x v="7"/>
  </r>
  <r>
    <n v="3475"/>
    <x v="233"/>
    <x v="1"/>
    <x v="243"/>
    <x v="1"/>
    <x v="1"/>
    <x v="0"/>
    <x v="1"/>
    <x v="1"/>
    <x v="1"/>
    <x v="1"/>
    <x v="4"/>
    <x v="4"/>
  </r>
  <r>
    <n v="3476"/>
    <x v="234"/>
    <x v="0"/>
    <x v="244"/>
    <x v="0"/>
    <x v="0"/>
    <x v="2"/>
    <x v="0"/>
    <x v="0"/>
    <x v="0"/>
    <x v="0"/>
    <x v="10"/>
    <x v="12"/>
  </r>
  <r>
    <n v="3477"/>
    <x v="235"/>
    <x v="2"/>
    <x v="245"/>
    <x v="1"/>
    <x v="2"/>
    <x v="0"/>
    <x v="1"/>
    <x v="1"/>
    <x v="0"/>
    <x v="0"/>
    <x v="2"/>
    <x v="2"/>
  </r>
  <r>
    <n v="3478"/>
    <x v="236"/>
    <x v="1"/>
    <x v="246"/>
    <x v="0"/>
    <x v="1"/>
    <x v="1"/>
    <x v="1"/>
    <x v="1"/>
    <x v="1"/>
    <x v="1"/>
    <x v="1"/>
    <x v="1"/>
  </r>
  <r>
    <n v="3479"/>
    <x v="237"/>
    <x v="0"/>
    <x v="247"/>
    <x v="1"/>
    <x v="0"/>
    <x v="0"/>
    <x v="0"/>
    <x v="0"/>
    <x v="0"/>
    <x v="0"/>
    <x v="7"/>
    <x v="8"/>
  </r>
  <r>
    <n v="3480"/>
    <x v="238"/>
    <x v="2"/>
    <x v="248"/>
    <x v="0"/>
    <x v="2"/>
    <x v="2"/>
    <x v="1"/>
    <x v="1"/>
    <x v="0"/>
    <x v="0"/>
    <x v="6"/>
    <x v="7"/>
  </r>
  <r>
    <n v="3481"/>
    <x v="239"/>
    <x v="1"/>
    <x v="249"/>
    <x v="1"/>
    <x v="1"/>
    <x v="0"/>
    <x v="1"/>
    <x v="1"/>
    <x v="1"/>
    <x v="1"/>
    <x v="4"/>
    <x v="4"/>
  </r>
  <r>
    <n v="3482"/>
    <x v="240"/>
    <x v="0"/>
    <x v="250"/>
    <x v="0"/>
    <x v="0"/>
    <x v="1"/>
    <x v="0"/>
    <x v="0"/>
    <x v="0"/>
    <x v="0"/>
    <x v="3"/>
    <x v="3"/>
  </r>
  <r>
    <n v="3483"/>
    <x v="241"/>
    <x v="2"/>
    <x v="251"/>
    <x v="1"/>
    <x v="2"/>
    <x v="0"/>
    <x v="1"/>
    <x v="1"/>
    <x v="0"/>
    <x v="0"/>
    <x v="2"/>
    <x v="2"/>
  </r>
  <r>
    <n v="3484"/>
    <x v="242"/>
    <x v="1"/>
    <x v="252"/>
    <x v="0"/>
    <x v="1"/>
    <x v="2"/>
    <x v="1"/>
    <x v="1"/>
    <x v="1"/>
    <x v="1"/>
    <x v="1"/>
    <x v="1"/>
  </r>
  <r>
    <n v="3485"/>
    <x v="243"/>
    <x v="0"/>
    <x v="253"/>
    <x v="1"/>
    <x v="0"/>
    <x v="0"/>
    <x v="0"/>
    <x v="0"/>
    <x v="0"/>
    <x v="0"/>
    <x v="6"/>
    <x v="14"/>
  </r>
  <r>
    <n v="3486"/>
    <x v="244"/>
    <x v="1"/>
    <x v="254"/>
    <x v="0"/>
    <x v="1"/>
    <x v="0"/>
    <x v="1"/>
    <x v="1"/>
    <x v="1"/>
    <x v="1"/>
    <x v="1"/>
    <x v="1"/>
  </r>
  <r>
    <n v="3487"/>
    <x v="245"/>
    <x v="0"/>
    <x v="255"/>
    <x v="1"/>
    <x v="0"/>
    <x v="2"/>
    <x v="0"/>
    <x v="0"/>
    <x v="0"/>
    <x v="0"/>
    <x v="10"/>
    <x v="12"/>
  </r>
  <r>
    <n v="3488"/>
    <x v="246"/>
    <x v="2"/>
    <x v="256"/>
    <x v="0"/>
    <x v="2"/>
    <x v="1"/>
    <x v="1"/>
    <x v="1"/>
    <x v="0"/>
    <x v="0"/>
    <x v="2"/>
    <x v="2"/>
  </r>
  <r>
    <n v="3489"/>
    <x v="247"/>
    <x v="1"/>
    <x v="257"/>
    <x v="1"/>
    <x v="1"/>
    <x v="2"/>
    <x v="1"/>
    <x v="1"/>
    <x v="1"/>
    <x v="1"/>
    <x v="4"/>
    <x v="4"/>
  </r>
  <r>
    <n v="3490"/>
    <x v="248"/>
    <x v="0"/>
    <x v="258"/>
    <x v="0"/>
    <x v="0"/>
    <x v="0"/>
    <x v="0"/>
    <x v="0"/>
    <x v="0"/>
    <x v="0"/>
    <x v="6"/>
    <x v="14"/>
  </r>
  <r>
    <n v="3491"/>
    <x v="249"/>
    <x v="2"/>
    <x v="259"/>
    <x v="1"/>
    <x v="2"/>
    <x v="0"/>
    <x v="1"/>
    <x v="1"/>
    <x v="0"/>
    <x v="0"/>
    <x v="0"/>
    <x v="13"/>
  </r>
  <r>
    <n v="3492"/>
    <x v="250"/>
    <x v="1"/>
    <x v="260"/>
    <x v="0"/>
    <x v="1"/>
    <x v="1"/>
    <x v="1"/>
    <x v="1"/>
    <x v="1"/>
    <x v="1"/>
    <x v="1"/>
    <x v="1"/>
  </r>
  <r>
    <n v="3493"/>
    <x v="251"/>
    <x v="0"/>
    <x v="261"/>
    <x v="1"/>
    <x v="0"/>
    <x v="2"/>
    <x v="0"/>
    <x v="0"/>
    <x v="0"/>
    <x v="0"/>
    <x v="7"/>
    <x v="8"/>
  </r>
  <r>
    <n v="3494"/>
    <x v="252"/>
    <x v="2"/>
    <x v="262"/>
    <x v="0"/>
    <x v="2"/>
    <x v="2"/>
    <x v="1"/>
    <x v="1"/>
    <x v="0"/>
    <x v="0"/>
    <x v="9"/>
    <x v="10"/>
  </r>
  <r>
    <n v="3495"/>
    <x v="253"/>
    <x v="1"/>
    <x v="263"/>
    <x v="1"/>
    <x v="1"/>
    <x v="0"/>
    <x v="1"/>
    <x v="1"/>
    <x v="1"/>
    <x v="1"/>
    <x v="5"/>
    <x v="11"/>
  </r>
  <r>
    <n v="3496"/>
    <x v="254"/>
    <x v="0"/>
    <x v="264"/>
    <x v="0"/>
    <x v="0"/>
    <x v="1"/>
    <x v="0"/>
    <x v="0"/>
    <x v="0"/>
    <x v="0"/>
    <x v="0"/>
    <x v="0"/>
  </r>
  <r>
    <n v="3497"/>
    <x v="255"/>
    <x v="2"/>
    <x v="265"/>
    <x v="1"/>
    <x v="2"/>
    <x v="0"/>
    <x v="1"/>
    <x v="1"/>
    <x v="0"/>
    <x v="0"/>
    <x v="2"/>
    <x v="2"/>
  </r>
  <r>
    <n v="3498"/>
    <x v="256"/>
    <x v="1"/>
    <x v="266"/>
    <x v="0"/>
    <x v="1"/>
    <x v="2"/>
    <x v="1"/>
    <x v="1"/>
    <x v="1"/>
    <x v="1"/>
    <x v="1"/>
    <x v="1"/>
  </r>
  <r>
    <n v="3499"/>
    <x v="257"/>
    <x v="0"/>
    <x v="267"/>
    <x v="1"/>
    <x v="0"/>
    <x v="0"/>
    <x v="0"/>
    <x v="0"/>
    <x v="0"/>
    <x v="0"/>
    <x v="3"/>
    <x v="3"/>
  </r>
  <r>
    <n v="3500"/>
    <x v="258"/>
    <x v="2"/>
    <x v="268"/>
    <x v="0"/>
    <x v="2"/>
    <x v="1"/>
    <x v="1"/>
    <x v="1"/>
    <x v="0"/>
    <x v="0"/>
    <x v="6"/>
    <x v="7"/>
  </r>
  <r>
    <n v="3501"/>
    <x v="259"/>
    <x v="1"/>
    <x v="269"/>
    <x v="1"/>
    <x v="1"/>
    <x v="0"/>
    <x v="1"/>
    <x v="1"/>
    <x v="1"/>
    <x v="1"/>
    <x v="4"/>
    <x v="4"/>
  </r>
  <r>
    <n v="3502"/>
    <x v="260"/>
    <x v="0"/>
    <x v="270"/>
    <x v="0"/>
    <x v="0"/>
    <x v="2"/>
    <x v="0"/>
    <x v="0"/>
    <x v="0"/>
    <x v="0"/>
    <x v="10"/>
    <x v="12"/>
  </r>
  <r>
    <n v="3503"/>
    <x v="119"/>
    <x v="2"/>
    <x v="271"/>
    <x v="1"/>
    <x v="2"/>
    <x v="0"/>
    <x v="1"/>
    <x v="1"/>
    <x v="0"/>
    <x v="0"/>
    <x v="2"/>
    <x v="2"/>
  </r>
  <r>
    <n v="3504"/>
    <x v="261"/>
    <x v="1"/>
    <x v="272"/>
    <x v="0"/>
    <x v="1"/>
    <x v="1"/>
    <x v="1"/>
    <x v="1"/>
    <x v="1"/>
    <x v="1"/>
    <x v="1"/>
    <x v="1"/>
  </r>
  <r>
    <n v="3505"/>
    <x v="262"/>
    <x v="0"/>
    <x v="273"/>
    <x v="1"/>
    <x v="0"/>
    <x v="0"/>
    <x v="0"/>
    <x v="0"/>
    <x v="0"/>
    <x v="0"/>
    <x v="7"/>
    <x v="8"/>
  </r>
  <r>
    <n v="3506"/>
    <x v="263"/>
    <x v="2"/>
    <x v="274"/>
    <x v="0"/>
    <x v="2"/>
    <x v="2"/>
    <x v="1"/>
    <x v="1"/>
    <x v="0"/>
    <x v="0"/>
    <x v="6"/>
    <x v="7"/>
  </r>
  <r>
    <n v="3507"/>
    <x v="264"/>
    <x v="1"/>
    <x v="275"/>
    <x v="1"/>
    <x v="1"/>
    <x v="0"/>
    <x v="1"/>
    <x v="1"/>
    <x v="1"/>
    <x v="1"/>
    <x v="4"/>
    <x v="4"/>
  </r>
  <r>
    <n v="3508"/>
    <x v="265"/>
    <x v="0"/>
    <x v="276"/>
    <x v="0"/>
    <x v="0"/>
    <x v="1"/>
    <x v="0"/>
    <x v="0"/>
    <x v="0"/>
    <x v="0"/>
    <x v="3"/>
    <x v="3"/>
  </r>
  <r>
    <n v="3509"/>
    <x v="266"/>
    <x v="2"/>
    <x v="277"/>
    <x v="1"/>
    <x v="2"/>
    <x v="0"/>
    <x v="1"/>
    <x v="1"/>
    <x v="0"/>
    <x v="0"/>
    <x v="2"/>
    <x v="2"/>
  </r>
  <r>
    <n v="3510"/>
    <x v="267"/>
    <x v="1"/>
    <x v="278"/>
    <x v="0"/>
    <x v="1"/>
    <x v="2"/>
    <x v="1"/>
    <x v="1"/>
    <x v="1"/>
    <x v="1"/>
    <x v="1"/>
    <x v="1"/>
  </r>
  <r>
    <n v="3511"/>
    <x v="268"/>
    <x v="0"/>
    <x v="279"/>
    <x v="1"/>
    <x v="0"/>
    <x v="0"/>
    <x v="0"/>
    <x v="0"/>
    <x v="0"/>
    <x v="0"/>
    <x v="6"/>
    <x v="14"/>
  </r>
  <r>
    <n v="3512"/>
    <x v="269"/>
    <x v="2"/>
    <x v="280"/>
    <x v="0"/>
    <x v="2"/>
    <x v="1"/>
    <x v="1"/>
    <x v="1"/>
    <x v="0"/>
    <x v="0"/>
    <x v="6"/>
    <x v="7"/>
  </r>
  <r>
    <n v="3513"/>
    <x v="270"/>
    <x v="1"/>
    <x v="281"/>
    <x v="1"/>
    <x v="1"/>
    <x v="0"/>
    <x v="1"/>
    <x v="1"/>
    <x v="1"/>
    <x v="1"/>
    <x v="4"/>
    <x v="4"/>
  </r>
  <r>
    <n v="3514"/>
    <x v="271"/>
    <x v="0"/>
    <x v="282"/>
    <x v="0"/>
    <x v="0"/>
    <x v="2"/>
    <x v="0"/>
    <x v="0"/>
    <x v="0"/>
    <x v="0"/>
    <x v="10"/>
    <x v="12"/>
  </r>
  <r>
    <n v="3515"/>
    <x v="130"/>
    <x v="2"/>
    <x v="283"/>
    <x v="1"/>
    <x v="2"/>
    <x v="0"/>
    <x v="1"/>
    <x v="1"/>
    <x v="0"/>
    <x v="0"/>
    <x v="2"/>
    <x v="2"/>
  </r>
  <r>
    <n v="3516"/>
    <x v="131"/>
    <x v="1"/>
    <x v="284"/>
    <x v="0"/>
    <x v="1"/>
    <x v="1"/>
    <x v="1"/>
    <x v="1"/>
    <x v="1"/>
    <x v="1"/>
    <x v="1"/>
    <x v="1"/>
  </r>
  <r>
    <n v="3517"/>
    <x v="181"/>
    <x v="0"/>
    <x v="285"/>
    <x v="1"/>
    <x v="0"/>
    <x v="0"/>
    <x v="0"/>
    <x v="0"/>
    <x v="0"/>
    <x v="0"/>
    <x v="7"/>
    <x v="8"/>
  </r>
  <r>
    <n v="3518"/>
    <x v="272"/>
    <x v="2"/>
    <x v="286"/>
    <x v="0"/>
    <x v="2"/>
    <x v="2"/>
    <x v="1"/>
    <x v="1"/>
    <x v="0"/>
    <x v="0"/>
    <x v="9"/>
    <x v="10"/>
  </r>
  <r>
    <n v="3519"/>
    <x v="273"/>
    <x v="1"/>
    <x v="287"/>
    <x v="1"/>
    <x v="1"/>
    <x v="0"/>
    <x v="1"/>
    <x v="1"/>
    <x v="1"/>
    <x v="1"/>
    <x v="5"/>
    <x v="11"/>
  </r>
  <r>
    <n v="3520"/>
    <x v="274"/>
    <x v="0"/>
    <x v="288"/>
    <x v="0"/>
    <x v="0"/>
    <x v="1"/>
    <x v="0"/>
    <x v="0"/>
    <x v="0"/>
    <x v="0"/>
    <x v="0"/>
    <x v="0"/>
  </r>
  <r>
    <n v="3521"/>
    <x v="275"/>
    <x v="2"/>
    <x v="289"/>
    <x v="1"/>
    <x v="2"/>
    <x v="0"/>
    <x v="1"/>
    <x v="1"/>
    <x v="0"/>
    <x v="0"/>
    <x v="2"/>
    <x v="2"/>
  </r>
  <r>
    <n v="3522"/>
    <x v="276"/>
    <x v="1"/>
    <x v="290"/>
    <x v="0"/>
    <x v="1"/>
    <x v="2"/>
    <x v="1"/>
    <x v="1"/>
    <x v="1"/>
    <x v="1"/>
    <x v="1"/>
    <x v="1"/>
  </r>
  <r>
    <n v="3523"/>
    <x v="277"/>
    <x v="0"/>
    <x v="291"/>
    <x v="1"/>
    <x v="0"/>
    <x v="0"/>
    <x v="0"/>
    <x v="0"/>
    <x v="0"/>
    <x v="0"/>
    <x v="3"/>
    <x v="3"/>
  </r>
  <r>
    <n v="3524"/>
    <x v="278"/>
    <x v="2"/>
    <x v="292"/>
    <x v="0"/>
    <x v="2"/>
    <x v="1"/>
    <x v="1"/>
    <x v="1"/>
    <x v="0"/>
    <x v="0"/>
    <x v="6"/>
    <x v="7"/>
  </r>
  <r>
    <n v="3525"/>
    <x v="279"/>
    <x v="1"/>
    <x v="293"/>
    <x v="1"/>
    <x v="1"/>
    <x v="0"/>
    <x v="1"/>
    <x v="1"/>
    <x v="1"/>
    <x v="1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0486C-088C-45A8-B1C1-BEEF0A48DB62}" name="tbl_renovacao_yes_no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C35:F49" firstHeaderRow="1" firstDataRow="2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Col" multipleItemSelectionAllowe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  <pivotField axis="axisRow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Total de vendas por mês -- Auto Renewal" fld="12" baseField="13" baseItem="1" numFmtId="44"/>
  </dataFields>
  <formats count="1">
    <format dxfId="3">
      <pivotArea outline="0" collapsedLevelsAreSubtotals="1" fieldPosition="0"/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42A2B-73F0-4678-B1E5-5CD933E51438}" name="tbl_planos_planos_anuais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6">
  <location ref="C58:M73" firstHeaderRow="1" firstDataRow="3" firstDataCol="1"/>
  <pivotFields count="14">
    <pivotField showAll="0"/>
    <pivotField showAll="0"/>
    <pivotField axis="axisCol" multipleItemSelectionAllowed="1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multipleItemSelectionAllowe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Col" multipleItemSelectionAllowed="1" showAll="0">
      <items count="4">
        <item sd="0"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6"/>
    <field x="2"/>
  </colFields>
  <colItems count="10">
    <i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Total de vendas por mês -- Subscription Types" fld="12" baseField="13" baseItem="1"/>
  </dataFields>
  <formats count="1">
    <format dxfId="0">
      <pivotArea outline="0" collapsedLevelsAreSubtotals="1" fieldPosition="0"/>
    </format>
  </formats>
  <chartFormats count="15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8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28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28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28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</references>
      </pivotArea>
    </chartFormat>
    <chartFormat chart="28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</references>
      </pivotArea>
    </chartFormat>
    <chartFormat chart="28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5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1"/>
          </reference>
        </references>
      </pivotArea>
    </chartFormat>
    <chartFormat chart="35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35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35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6" count="1" selected="0">
            <x v="2"/>
          </reference>
        </references>
      </pivotArea>
    </chartFormat>
    <chartFormat chart="35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</references>
      </pivotArea>
    </chartFormat>
    <chartFormat chart="35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87FF2-9B74-4C44-99A6-04C51873B952}" name="tbl_total_vendas_mes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C13:D26" firstHeaderRow="1" firstDataRow="1" firstDataCol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multipleItemSelectionAllowed="1" showAll="0">
      <items count="4">
        <item x="1"/>
        <item x="2"/>
        <item x="0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multipleItemSelectionAllowe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multipleItemSelectionAllowed="1" showAll="0">
      <items count="3">
        <item x="1"/>
        <item x="0"/>
        <item t="default"/>
      </items>
    </pivotField>
    <pivotField numFmtId="44" multipleItemSelectionAllowed="1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multipleItemSelectionAllowed="1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Faturamento mensal 2024" fld="12" baseField="13" baseItem="1"/>
  </dataFields>
  <formats count="1">
    <format dxfId="2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0CE8B-8B9D-42E2-912F-2D51A30F84B0}" name="tbl_valor_total_202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8" firstHeaderRow="1" firstDataRow="1" firstDataCol="0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Total Value" fld="12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" xr10:uid="{EF41A59E-B45E-4071-BEF7-3E6CAB5E9BE6}" sourceName="Meses">
  <pivotTables>
    <pivotTable tabId="3" name="tbl_total_vendas_mes"/>
  </pivotTables>
  <data>
    <tabular pivotCacheId="42702925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1" xr10:uid="{3FA78AEF-CB10-4D42-86A9-AFA960AE4BB7}" sourceName="Meses">
  <pivotTables>
    <pivotTable tabId="3" name="tbl_renovacao_yes_no"/>
  </pivotTables>
  <data>
    <tabular pivotCacheId="42702925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B2614855-3223-4E0E-BBE5-92E2C879534E}" sourceName="Auto Renewal">
  <pivotTables>
    <pivotTable tabId="3" name="tbl_renovacao_yes_no"/>
  </pivotTables>
  <data>
    <tabular pivotCacheId="427029251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70A0DF6-EB89-48B9-8BBB-08F7B34BB534}" sourceName="Plan">
  <pivotTables>
    <pivotTable tabId="3" name="tbl_planos_planos_anuais"/>
  </pivotTables>
  <data>
    <tabular pivotCacheId="427029251">
      <items count="3"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333201C-A06F-4B85-8D13-D3A36A2CADC6}" sourceName="Subscription Type">
  <pivotTables>
    <pivotTable tabId="3" name="tbl_planos_planos_anuais"/>
  </pivotTables>
  <data>
    <tabular pivotCacheId="427029251">
      <items count="3"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2" xr10:uid="{D84DFC4C-70F8-4BF9-B3A7-9A1255036466}" sourceName="Meses">
  <pivotTables>
    <pivotTable tabId="3" name="tbl_planos_planos_anuais"/>
  </pivotTables>
  <data>
    <tabular pivotCacheId="42702925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09878EE0-7752-4682-9968-9EE298B2DF0F}" cache="SegmentaçãodeDados_Meses" caption="Meses" startItem="3" style="SlicerStyleDark3" rowHeight="241300"/>
  <slicer name="Meses 1" xr10:uid="{52A245F2-4A81-4C19-B7BD-14D3F35C4203}" cache="SegmentaçãodeDados_Meses1" caption="Meses" style="SlicerStyleDark3" rowHeight="241300"/>
  <slicer name="Auto Renewal" xr10:uid="{E2A2C70E-E2F6-436E-8EA4-12995975A62E}" cache="SegmentaçãodeDados_Auto_Renewal" caption="Auto Renewal" style="SlicerStyleDark3" rowHeight="241300"/>
  <slicer name="Plan" xr10:uid="{D3820492-CDF4-4040-B0B5-485D6E034957}" cache="SegmentaçãodeDados_Plan" caption="Plan" style="SlicerStyleDark3" rowHeight="241300"/>
  <slicer name="Subscription Type" xr10:uid="{3E27CC00-FE0E-405D-AA95-06D8264DDA15}" cache="SegmentaçãodeDados_Subscription_Type" caption="Subscription" style="SlicerStyleDark3" rowHeight="241300"/>
  <slicer name="Meses 3" xr10:uid="{2485E60A-8232-4052-9649-2CC1C51A0C51}" cache="SegmentaçãodeDados_Meses2" caption="Meses" style="SlicerStyleDark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turamento Mensal 2024" xr10:uid="{8B9B874B-2F3F-400C-B193-1846E12E1D2C}" cache="SegmentaçãodeDados_Meses" caption="Meses" style="SlicerStyleDark3" rowHeight="241300"/>
  <slicer name="Meses 2" xr10:uid="{3068EF4E-AFC8-4B42-96F9-7F47F219C68A}" cache="SegmentaçãodeDados_Meses1" caption="Meses" style="SlicerStyleDark3" rowHeight="241300"/>
  <slicer name="Auto Renewal 1" xr10:uid="{29E50705-3802-49AA-8A68-70E17D76A916}" cache="SegmentaçãodeDados_Auto_Renewal" caption="Auto Renewal" style="SlicerStyleDark3" rowHeight="241300"/>
  <slicer name="Plan 1" xr10:uid="{14256B9D-3F0D-44CC-B65F-A56A30D19261}" cache="SegmentaçãodeDados_Plan" caption="Plan" style="SlicerStyleDark3" rowHeight="241300"/>
  <slicer name="Subscription Type 1" xr10:uid="{65AE4E2F-1FF6-4B25-9F13-02B2C1DC17A5}" cache="SegmentaçãodeDados_Subscription_Type" caption="Subscription" style="SlicerStyleDark3" rowHeight="241300"/>
  <slicer name="Meses 4" xr10:uid="{AACAD0D2-A961-408D-8F5F-E1169386F230}" cache="SegmentaçãodeDados_Meses2" caption="Meses" style="SlicerStyleDark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headerRowDxfId="18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K28" sqref="K2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K28" sqref="K28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style="14" bestFit="1" customWidth="1"/>
    <col min="7" max="7" width="22" bestFit="1" customWidth="1"/>
    <col min="8" max="8" width="20.625" bestFit="1" customWidth="1"/>
    <col min="9" max="9" width="20.625" style="15" customWidth="1"/>
    <col min="10" max="10" width="16.75" bestFit="1" customWidth="1"/>
    <col min="11" max="11" width="21.25" style="14" bestFit="1" customWidth="1"/>
    <col min="12" max="12" width="12.25" style="14" bestFit="1" customWidth="1"/>
    <col min="13" max="13" width="10.625" style="14" bestFit="1" customWidth="1"/>
  </cols>
  <sheetData>
    <row r="1" spans="1:13" s="15" customFormat="1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3">
        <v>15</v>
      </c>
      <c r="G2" s="8" t="s">
        <v>20</v>
      </c>
      <c r="H2" s="8" t="s">
        <v>19</v>
      </c>
      <c r="I2" s="11">
        <v>30</v>
      </c>
      <c r="J2" s="8" t="s">
        <v>19</v>
      </c>
      <c r="K2" s="13">
        <v>20</v>
      </c>
      <c r="L2" s="13">
        <v>5</v>
      </c>
      <c r="M2" s="13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3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3">
        <v>0</v>
      </c>
      <c r="L3" s="13">
        <v>0</v>
      </c>
      <c r="M3" s="13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3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3">
        <v>20</v>
      </c>
      <c r="L4" s="13">
        <v>10</v>
      </c>
      <c r="M4" s="13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3">
        <v>15</v>
      </c>
      <c r="G5" s="8" t="s">
        <v>20</v>
      </c>
      <c r="H5" s="8" t="s">
        <v>19</v>
      </c>
      <c r="I5" s="11">
        <v>30</v>
      </c>
      <c r="J5" s="8" t="s">
        <v>19</v>
      </c>
      <c r="K5" s="13">
        <v>20</v>
      </c>
      <c r="L5" s="13">
        <v>3</v>
      </c>
      <c r="M5" s="13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3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3">
        <v>0</v>
      </c>
      <c r="L6" s="13">
        <v>1</v>
      </c>
      <c r="M6" s="13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3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3">
        <v>20</v>
      </c>
      <c r="L7" s="13">
        <v>2</v>
      </c>
      <c r="M7" s="13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3">
        <v>15</v>
      </c>
      <c r="G8" s="8" t="s">
        <v>27</v>
      </c>
      <c r="H8" s="8" t="s">
        <v>19</v>
      </c>
      <c r="I8" s="11">
        <v>30</v>
      </c>
      <c r="J8" s="8" t="s">
        <v>19</v>
      </c>
      <c r="K8" s="13">
        <v>20</v>
      </c>
      <c r="L8" s="13">
        <v>10</v>
      </c>
      <c r="M8" s="13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3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3">
        <v>0</v>
      </c>
      <c r="L9" s="13">
        <v>0</v>
      </c>
      <c r="M9" s="13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3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3">
        <v>20</v>
      </c>
      <c r="L10" s="13">
        <v>5</v>
      </c>
      <c r="M10" s="13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3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3">
        <v>20</v>
      </c>
      <c r="L11" s="13">
        <v>15</v>
      </c>
      <c r="M11" s="13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3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3">
        <v>0</v>
      </c>
      <c r="L12" s="13">
        <v>1</v>
      </c>
      <c r="M12" s="13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3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3">
        <v>20</v>
      </c>
      <c r="L13" s="13">
        <v>20</v>
      </c>
      <c r="M13" s="13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3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3">
        <v>20</v>
      </c>
      <c r="L14" s="13">
        <v>10</v>
      </c>
      <c r="M14" s="13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3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3">
        <v>0</v>
      </c>
      <c r="L15" s="13">
        <v>0</v>
      </c>
      <c r="M15" s="13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3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3">
        <v>20</v>
      </c>
      <c r="L16" s="13">
        <v>8</v>
      </c>
      <c r="M16" s="13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3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3">
        <v>20</v>
      </c>
      <c r="L17" s="13">
        <v>12</v>
      </c>
      <c r="M17" s="13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3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3">
        <v>0</v>
      </c>
      <c r="L18" s="13">
        <v>2</v>
      </c>
      <c r="M18" s="13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3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3">
        <v>20</v>
      </c>
      <c r="L19" s="13">
        <v>7</v>
      </c>
      <c r="M19" s="13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3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3">
        <v>20</v>
      </c>
      <c r="L20" s="13">
        <v>5</v>
      </c>
      <c r="M20" s="13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3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3">
        <v>0</v>
      </c>
      <c r="L21" s="13">
        <v>0</v>
      </c>
      <c r="M21" s="13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3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3">
        <v>20</v>
      </c>
      <c r="L22" s="13">
        <v>3</v>
      </c>
      <c r="M22" s="13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3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3">
        <v>20</v>
      </c>
      <c r="L23" s="13">
        <v>15</v>
      </c>
      <c r="M23" s="13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3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3">
        <v>0</v>
      </c>
      <c r="L24" s="13">
        <v>1</v>
      </c>
      <c r="M24" s="13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3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3">
        <v>20</v>
      </c>
      <c r="L25" s="13">
        <v>20</v>
      </c>
      <c r="M25" s="13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3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3">
        <v>20</v>
      </c>
      <c r="L26" s="13">
        <v>10</v>
      </c>
      <c r="M26" s="13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3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3">
        <v>0</v>
      </c>
      <c r="L27" s="13">
        <v>0</v>
      </c>
      <c r="M27" s="13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3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3">
        <v>20</v>
      </c>
      <c r="L28" s="13">
        <v>5</v>
      </c>
      <c r="M28" s="13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3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3">
        <v>20</v>
      </c>
      <c r="L29" s="13">
        <v>15</v>
      </c>
      <c r="M29" s="13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3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3">
        <v>0</v>
      </c>
      <c r="L30" s="13">
        <v>1</v>
      </c>
      <c r="M30" s="13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3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3">
        <v>20</v>
      </c>
      <c r="L31" s="13">
        <v>7</v>
      </c>
      <c r="M31" s="13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3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3">
        <v>20</v>
      </c>
      <c r="L32" s="13">
        <v>10</v>
      </c>
      <c r="M32" s="13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3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3">
        <v>0</v>
      </c>
      <c r="L33" s="13">
        <v>0</v>
      </c>
      <c r="M33" s="13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3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3">
        <v>20</v>
      </c>
      <c r="L34" s="13">
        <v>3</v>
      </c>
      <c r="M34" s="13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3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3">
        <v>20</v>
      </c>
      <c r="L35" s="13">
        <v>15</v>
      </c>
      <c r="M35" s="13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3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3">
        <v>0</v>
      </c>
      <c r="L36" s="13">
        <v>1</v>
      </c>
      <c r="M36" s="13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3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3">
        <v>0</v>
      </c>
      <c r="L37" s="13">
        <v>0</v>
      </c>
      <c r="M37" s="13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3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3">
        <v>20</v>
      </c>
      <c r="L38" s="13">
        <v>7</v>
      </c>
      <c r="M38" s="13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3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3">
        <v>20</v>
      </c>
      <c r="L39" s="13">
        <v>10</v>
      </c>
      <c r="M39" s="13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3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3">
        <v>0</v>
      </c>
      <c r="L40" s="13">
        <v>1</v>
      </c>
      <c r="M40" s="13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3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3">
        <v>20</v>
      </c>
      <c r="L41" s="13">
        <v>15</v>
      </c>
      <c r="M41" s="13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3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3">
        <v>20</v>
      </c>
      <c r="L42" s="13">
        <v>5</v>
      </c>
      <c r="M42" s="13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3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3">
        <v>0</v>
      </c>
      <c r="L43" s="13">
        <v>0</v>
      </c>
      <c r="M43" s="13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3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3">
        <v>20</v>
      </c>
      <c r="L44" s="13">
        <v>20</v>
      </c>
      <c r="M44" s="13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3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3">
        <v>20</v>
      </c>
      <c r="L45" s="13">
        <v>12</v>
      </c>
      <c r="M45" s="13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3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3">
        <v>0</v>
      </c>
      <c r="L46" s="13">
        <v>2</v>
      </c>
      <c r="M46" s="13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3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3">
        <v>20</v>
      </c>
      <c r="L47" s="13">
        <v>5</v>
      </c>
      <c r="M47" s="13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3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3">
        <v>20</v>
      </c>
      <c r="L48" s="13">
        <v>10</v>
      </c>
      <c r="M48" s="13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3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3">
        <v>0</v>
      </c>
      <c r="L49" s="13">
        <v>0</v>
      </c>
      <c r="M49" s="13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3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3">
        <v>20</v>
      </c>
      <c r="L50" s="13">
        <v>3</v>
      </c>
      <c r="M50" s="13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3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3">
        <v>20</v>
      </c>
      <c r="L51" s="13">
        <v>15</v>
      </c>
      <c r="M51" s="13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3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3">
        <v>0</v>
      </c>
      <c r="L52" s="13">
        <v>1</v>
      </c>
      <c r="M52" s="13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3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3">
        <v>20</v>
      </c>
      <c r="L53" s="13">
        <v>7</v>
      </c>
      <c r="M53" s="13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3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3">
        <v>20</v>
      </c>
      <c r="L54" s="13">
        <v>10</v>
      </c>
      <c r="M54" s="13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3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3">
        <v>0</v>
      </c>
      <c r="L55" s="13">
        <v>0</v>
      </c>
      <c r="M55" s="13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3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3">
        <v>20</v>
      </c>
      <c r="L56" s="13">
        <v>20</v>
      </c>
      <c r="M56" s="13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3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3">
        <v>20</v>
      </c>
      <c r="L57" s="13">
        <v>15</v>
      </c>
      <c r="M57" s="13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3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3">
        <v>0</v>
      </c>
      <c r="L58" s="13">
        <v>1</v>
      </c>
      <c r="M58" s="13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3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3">
        <v>20</v>
      </c>
      <c r="L59" s="13">
        <v>3</v>
      </c>
      <c r="M59" s="13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3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3">
        <v>20</v>
      </c>
      <c r="L60" s="13">
        <v>10</v>
      </c>
      <c r="M60" s="13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3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3">
        <v>0</v>
      </c>
      <c r="L61" s="13">
        <v>0</v>
      </c>
      <c r="M61" s="13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3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3">
        <v>20</v>
      </c>
      <c r="L62" s="13">
        <v>5</v>
      </c>
      <c r="M62" s="13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3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3">
        <v>20</v>
      </c>
      <c r="L63" s="13">
        <v>15</v>
      </c>
      <c r="M63" s="13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3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3">
        <v>0</v>
      </c>
      <c r="L64" s="13">
        <v>1</v>
      </c>
      <c r="M64" s="13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3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3">
        <v>20</v>
      </c>
      <c r="L65" s="13">
        <v>20</v>
      </c>
      <c r="M65" s="13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3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3">
        <v>20</v>
      </c>
      <c r="L66" s="13">
        <v>5</v>
      </c>
      <c r="M66" s="13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3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3">
        <v>0</v>
      </c>
      <c r="L67" s="13">
        <v>0</v>
      </c>
      <c r="M67" s="13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3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3">
        <v>20</v>
      </c>
      <c r="L68" s="13">
        <v>7</v>
      </c>
      <c r="M68" s="13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3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3">
        <v>20</v>
      </c>
      <c r="L69" s="13">
        <v>10</v>
      </c>
      <c r="M69" s="13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3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3">
        <v>0</v>
      </c>
      <c r="L70" s="13">
        <v>1</v>
      </c>
      <c r="M70" s="13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3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3">
        <v>20</v>
      </c>
      <c r="L71" s="13">
        <v>15</v>
      </c>
      <c r="M71" s="13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3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3">
        <v>20</v>
      </c>
      <c r="L72" s="13">
        <v>5</v>
      </c>
      <c r="M72" s="13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3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3">
        <v>0</v>
      </c>
      <c r="L73" s="13">
        <v>0</v>
      </c>
      <c r="M73" s="13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3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3">
        <v>20</v>
      </c>
      <c r="L74" s="13">
        <v>20</v>
      </c>
      <c r="M74" s="13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3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3">
        <v>20</v>
      </c>
      <c r="L75" s="13">
        <v>12</v>
      </c>
      <c r="M75" s="13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3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3">
        <v>0</v>
      </c>
      <c r="L76" s="13">
        <v>2</v>
      </c>
      <c r="M76" s="13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3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3">
        <v>20</v>
      </c>
      <c r="L77" s="13">
        <v>5</v>
      </c>
      <c r="M77" s="13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3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3">
        <v>20</v>
      </c>
      <c r="L78" s="13">
        <v>10</v>
      </c>
      <c r="M78" s="13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3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3">
        <v>0</v>
      </c>
      <c r="L79" s="13">
        <v>0</v>
      </c>
      <c r="M79" s="13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3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3">
        <v>20</v>
      </c>
      <c r="L80" s="13">
        <v>3</v>
      </c>
      <c r="M80" s="13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3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3">
        <v>20</v>
      </c>
      <c r="L81" s="13">
        <v>15</v>
      </c>
      <c r="M81" s="13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3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3">
        <v>0</v>
      </c>
      <c r="L82" s="13">
        <v>1</v>
      </c>
      <c r="M82" s="13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3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3">
        <v>20</v>
      </c>
      <c r="L83" s="13">
        <v>7</v>
      </c>
      <c r="M83" s="13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3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3">
        <v>20</v>
      </c>
      <c r="L84" s="13">
        <v>10</v>
      </c>
      <c r="M84" s="13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3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3">
        <v>0</v>
      </c>
      <c r="L85" s="13">
        <v>0</v>
      </c>
      <c r="M85" s="13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3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3">
        <v>20</v>
      </c>
      <c r="L86" s="13">
        <v>20</v>
      </c>
      <c r="M86" s="13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3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3">
        <v>20</v>
      </c>
      <c r="L87" s="13">
        <v>15</v>
      </c>
      <c r="M87" s="13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3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3">
        <v>0</v>
      </c>
      <c r="L88" s="13">
        <v>1</v>
      </c>
      <c r="M88" s="13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3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3">
        <v>20</v>
      </c>
      <c r="L89" s="13">
        <v>3</v>
      </c>
      <c r="M89" s="13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3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3">
        <v>20</v>
      </c>
      <c r="L90" s="13">
        <v>10</v>
      </c>
      <c r="M90" s="13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3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3">
        <v>0</v>
      </c>
      <c r="L91" s="13">
        <v>0</v>
      </c>
      <c r="M91" s="13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3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3">
        <v>20</v>
      </c>
      <c r="L92" s="13">
        <v>5</v>
      </c>
      <c r="M92" s="13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3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3">
        <v>20</v>
      </c>
      <c r="L93" s="13">
        <v>15</v>
      </c>
      <c r="M93" s="13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3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3">
        <v>0</v>
      </c>
      <c r="L94" s="13">
        <v>1</v>
      </c>
      <c r="M94" s="13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3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3">
        <v>20</v>
      </c>
      <c r="L95" s="13">
        <v>20</v>
      </c>
      <c r="M95" s="13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3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3">
        <v>20</v>
      </c>
      <c r="L96" s="13">
        <v>15</v>
      </c>
      <c r="M96" s="13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3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3">
        <v>0</v>
      </c>
      <c r="L97" s="13">
        <v>0</v>
      </c>
      <c r="M97" s="13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3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3">
        <v>20</v>
      </c>
      <c r="L98" s="13">
        <v>7</v>
      </c>
      <c r="M98" s="13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3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3">
        <v>20</v>
      </c>
      <c r="L99" s="13">
        <v>10</v>
      </c>
      <c r="M99" s="13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3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3">
        <v>0</v>
      </c>
      <c r="L100" s="13">
        <v>1</v>
      </c>
      <c r="M100" s="13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3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3">
        <v>20</v>
      </c>
      <c r="L101" s="13">
        <v>15</v>
      </c>
      <c r="M101" s="13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3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3">
        <v>20</v>
      </c>
      <c r="L102" s="13">
        <v>5</v>
      </c>
      <c r="M102" s="13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3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3">
        <v>0</v>
      </c>
      <c r="L103" s="13">
        <v>0</v>
      </c>
      <c r="M103" s="13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3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3">
        <v>20</v>
      </c>
      <c r="L104" s="13">
        <v>20</v>
      </c>
      <c r="M104" s="13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3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3">
        <v>20</v>
      </c>
      <c r="L105" s="13">
        <v>12</v>
      </c>
      <c r="M105" s="13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3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3">
        <v>0</v>
      </c>
      <c r="L106" s="13">
        <v>2</v>
      </c>
      <c r="M106" s="13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3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3">
        <v>0</v>
      </c>
      <c r="L107" s="13">
        <v>0</v>
      </c>
      <c r="M107" s="13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3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3">
        <v>20</v>
      </c>
      <c r="L108" s="13">
        <v>7</v>
      </c>
      <c r="M108" s="13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3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3">
        <v>20</v>
      </c>
      <c r="L109" s="13">
        <v>10</v>
      </c>
      <c r="M109" s="13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3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3">
        <v>0</v>
      </c>
      <c r="L110" s="13">
        <v>1</v>
      </c>
      <c r="M110" s="13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3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3">
        <v>20</v>
      </c>
      <c r="L111" s="13">
        <v>15</v>
      </c>
      <c r="M111" s="13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3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3">
        <v>20</v>
      </c>
      <c r="L112" s="13">
        <v>5</v>
      </c>
      <c r="M112" s="13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3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3">
        <v>0</v>
      </c>
      <c r="L113" s="13">
        <v>0</v>
      </c>
      <c r="M113" s="13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3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3">
        <v>20</v>
      </c>
      <c r="L114" s="13">
        <v>20</v>
      </c>
      <c r="M114" s="13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3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3">
        <v>20</v>
      </c>
      <c r="L115" s="13">
        <v>12</v>
      </c>
      <c r="M115" s="13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3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3">
        <v>0</v>
      </c>
      <c r="L116" s="13">
        <v>2</v>
      </c>
      <c r="M116" s="13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3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3">
        <v>20</v>
      </c>
      <c r="L117" s="13">
        <v>5</v>
      </c>
      <c r="M117" s="13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3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3">
        <v>20</v>
      </c>
      <c r="L118" s="13">
        <v>10</v>
      </c>
      <c r="M118" s="13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3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3">
        <v>0</v>
      </c>
      <c r="L119" s="13">
        <v>0</v>
      </c>
      <c r="M119" s="13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3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3">
        <v>20</v>
      </c>
      <c r="L120" s="13">
        <v>3</v>
      </c>
      <c r="M120" s="13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3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3">
        <v>20</v>
      </c>
      <c r="L121" s="13">
        <v>15</v>
      </c>
      <c r="M121" s="13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3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3">
        <v>0</v>
      </c>
      <c r="L122" s="13">
        <v>1</v>
      </c>
      <c r="M122" s="13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3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3">
        <v>20</v>
      </c>
      <c r="L123" s="13">
        <v>7</v>
      </c>
      <c r="M123" s="13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3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3">
        <v>20</v>
      </c>
      <c r="L124" s="13">
        <v>10</v>
      </c>
      <c r="M124" s="13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3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3">
        <v>0</v>
      </c>
      <c r="L125" s="13">
        <v>0</v>
      </c>
      <c r="M125" s="13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3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3">
        <v>20</v>
      </c>
      <c r="L126" s="13">
        <v>20</v>
      </c>
      <c r="M126" s="13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3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3">
        <v>20</v>
      </c>
      <c r="L127" s="13">
        <v>15</v>
      </c>
      <c r="M127" s="13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3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3">
        <v>0</v>
      </c>
      <c r="L128" s="13">
        <v>1</v>
      </c>
      <c r="M128" s="13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3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3">
        <v>20</v>
      </c>
      <c r="L129" s="13">
        <v>3</v>
      </c>
      <c r="M129" s="13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3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3">
        <v>20</v>
      </c>
      <c r="L130" s="13">
        <v>10</v>
      </c>
      <c r="M130" s="13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3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3">
        <v>0</v>
      </c>
      <c r="L131" s="13">
        <v>0</v>
      </c>
      <c r="M131" s="13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3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3">
        <v>20</v>
      </c>
      <c r="L132" s="13">
        <v>15</v>
      </c>
      <c r="M132" s="13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3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3">
        <v>20</v>
      </c>
      <c r="L133" s="13">
        <v>15</v>
      </c>
      <c r="M133" s="13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3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3">
        <v>0</v>
      </c>
      <c r="L134" s="13">
        <v>1</v>
      </c>
      <c r="M134" s="13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3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3">
        <v>20</v>
      </c>
      <c r="L135" s="13">
        <v>7</v>
      </c>
      <c r="M135" s="13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3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3">
        <v>20</v>
      </c>
      <c r="L136" s="13">
        <v>10</v>
      </c>
      <c r="M136" s="13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3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3">
        <v>0</v>
      </c>
      <c r="L137" s="13">
        <v>0</v>
      </c>
      <c r="M137" s="13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3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3">
        <v>20</v>
      </c>
      <c r="L138" s="13">
        <v>7</v>
      </c>
      <c r="M138" s="13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3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3">
        <v>20</v>
      </c>
      <c r="L139" s="13">
        <v>10</v>
      </c>
      <c r="M139" s="13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3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3">
        <v>0</v>
      </c>
      <c r="L140" s="13">
        <v>1</v>
      </c>
      <c r="M140" s="13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3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3">
        <v>20</v>
      </c>
      <c r="L141" s="13">
        <v>15</v>
      </c>
      <c r="M141" s="13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3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3">
        <v>20</v>
      </c>
      <c r="L142" s="13">
        <v>5</v>
      </c>
      <c r="M142" s="13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3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3">
        <v>0</v>
      </c>
      <c r="L143" s="13">
        <v>0</v>
      </c>
      <c r="M143" s="13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3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3">
        <v>20</v>
      </c>
      <c r="L144" s="13">
        <v>20</v>
      </c>
      <c r="M144" s="13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3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3">
        <v>20</v>
      </c>
      <c r="L145" s="13">
        <v>12</v>
      </c>
      <c r="M145" s="13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3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3">
        <v>0</v>
      </c>
      <c r="L146" s="13">
        <v>2</v>
      </c>
      <c r="M146" s="13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3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3">
        <v>20</v>
      </c>
      <c r="L147" s="13">
        <v>5</v>
      </c>
      <c r="M147" s="13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3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3">
        <v>20</v>
      </c>
      <c r="L148" s="13">
        <v>10</v>
      </c>
      <c r="M148" s="13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3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3">
        <v>0</v>
      </c>
      <c r="L149" s="13">
        <v>0</v>
      </c>
      <c r="M149" s="13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3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3">
        <v>20</v>
      </c>
      <c r="L150" s="13">
        <v>3</v>
      </c>
      <c r="M150" s="13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3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3">
        <v>20</v>
      </c>
      <c r="L151" s="13">
        <v>15</v>
      </c>
      <c r="M151" s="13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3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3">
        <v>0</v>
      </c>
      <c r="L152" s="13">
        <v>1</v>
      </c>
      <c r="M152" s="13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3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3">
        <v>20</v>
      </c>
      <c r="L153" s="13">
        <v>7</v>
      </c>
      <c r="M153" s="13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3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3">
        <v>20</v>
      </c>
      <c r="L154" s="13">
        <v>10</v>
      </c>
      <c r="M154" s="13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3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3">
        <v>0</v>
      </c>
      <c r="L155" s="13">
        <v>0</v>
      </c>
      <c r="M155" s="13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3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3">
        <v>20</v>
      </c>
      <c r="L156" s="13">
        <v>20</v>
      </c>
      <c r="M156" s="13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3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3">
        <v>20</v>
      </c>
      <c r="L157" s="13">
        <v>15</v>
      </c>
      <c r="M157" s="13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3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3">
        <v>0</v>
      </c>
      <c r="L158" s="13">
        <v>1</v>
      </c>
      <c r="M158" s="13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3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3">
        <v>20</v>
      </c>
      <c r="L159" s="13">
        <v>3</v>
      </c>
      <c r="M159" s="13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3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3">
        <v>20</v>
      </c>
      <c r="L160" s="13">
        <v>10</v>
      </c>
      <c r="M160" s="13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3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3">
        <v>0</v>
      </c>
      <c r="L161" s="13">
        <v>0</v>
      </c>
      <c r="M161" s="13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3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3">
        <v>20</v>
      </c>
      <c r="L162" s="13">
        <v>15</v>
      </c>
      <c r="M162" s="13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3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3">
        <v>20</v>
      </c>
      <c r="L163" s="13">
        <v>15</v>
      </c>
      <c r="M163" s="13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3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3">
        <v>0</v>
      </c>
      <c r="L164" s="13">
        <v>1</v>
      </c>
      <c r="M164" s="13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3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3">
        <v>20</v>
      </c>
      <c r="L165" s="13">
        <v>7</v>
      </c>
      <c r="M165" s="13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3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3">
        <v>20</v>
      </c>
      <c r="L166" s="13">
        <v>10</v>
      </c>
      <c r="M166" s="13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3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3">
        <v>0</v>
      </c>
      <c r="L167" s="13">
        <v>0</v>
      </c>
      <c r="M167" s="13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3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3">
        <v>20</v>
      </c>
      <c r="L168" s="13">
        <v>20</v>
      </c>
      <c r="M168" s="13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3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3">
        <v>20</v>
      </c>
      <c r="L169" s="13">
        <v>15</v>
      </c>
      <c r="M169" s="13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3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3">
        <v>0</v>
      </c>
      <c r="L170" s="13">
        <v>1</v>
      </c>
      <c r="M170" s="13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3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3">
        <v>20</v>
      </c>
      <c r="L171" s="13">
        <v>5</v>
      </c>
      <c r="M171" s="13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3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3">
        <v>20</v>
      </c>
      <c r="L172" s="13">
        <v>10</v>
      </c>
      <c r="M172" s="13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3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3">
        <v>0</v>
      </c>
      <c r="L173" s="13">
        <v>0</v>
      </c>
      <c r="M173" s="13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3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3">
        <v>20</v>
      </c>
      <c r="L174" s="13">
        <v>3</v>
      </c>
      <c r="M174" s="13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3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3">
        <v>20</v>
      </c>
      <c r="L175" s="13">
        <v>15</v>
      </c>
      <c r="M175" s="13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3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3">
        <v>0</v>
      </c>
      <c r="L176" s="13">
        <v>1</v>
      </c>
      <c r="M176" s="13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3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3">
        <v>0</v>
      </c>
      <c r="L177" s="13">
        <v>0</v>
      </c>
      <c r="M177" s="13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3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3">
        <v>20</v>
      </c>
      <c r="L178" s="13">
        <v>7</v>
      </c>
      <c r="M178" s="13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3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3">
        <v>20</v>
      </c>
      <c r="L179" s="13">
        <v>10</v>
      </c>
      <c r="M179" s="13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3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3">
        <v>0</v>
      </c>
      <c r="L180" s="13">
        <v>1</v>
      </c>
      <c r="M180" s="13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3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3">
        <v>20</v>
      </c>
      <c r="L181" s="13">
        <v>15</v>
      </c>
      <c r="M181" s="13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3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3">
        <v>20</v>
      </c>
      <c r="L182" s="13">
        <v>5</v>
      </c>
      <c r="M182" s="13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3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3">
        <v>0</v>
      </c>
      <c r="L183" s="13">
        <v>0</v>
      </c>
      <c r="M183" s="13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3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3">
        <v>20</v>
      </c>
      <c r="L184" s="13">
        <v>20</v>
      </c>
      <c r="M184" s="13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3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3">
        <v>20</v>
      </c>
      <c r="L185" s="13">
        <v>12</v>
      </c>
      <c r="M185" s="13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3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3">
        <v>0</v>
      </c>
      <c r="L186" s="13">
        <v>2</v>
      </c>
      <c r="M186" s="13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3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3">
        <v>20</v>
      </c>
      <c r="L187" s="13">
        <v>5</v>
      </c>
      <c r="M187" s="13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3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3">
        <v>20</v>
      </c>
      <c r="L188" s="13">
        <v>10</v>
      </c>
      <c r="M188" s="13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3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3">
        <v>0</v>
      </c>
      <c r="L189" s="13">
        <v>0</v>
      </c>
      <c r="M189" s="13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3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3">
        <v>20</v>
      </c>
      <c r="L190" s="13">
        <v>3</v>
      </c>
      <c r="M190" s="13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3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3">
        <v>20</v>
      </c>
      <c r="L191" s="13">
        <v>15</v>
      </c>
      <c r="M191" s="13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3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3">
        <v>0</v>
      </c>
      <c r="L192" s="13">
        <v>1</v>
      </c>
      <c r="M192" s="13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3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3">
        <v>20</v>
      </c>
      <c r="L193" s="13">
        <v>7</v>
      </c>
      <c r="M193" s="13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3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3">
        <v>20</v>
      </c>
      <c r="L194" s="13">
        <v>10</v>
      </c>
      <c r="M194" s="13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3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3">
        <v>0</v>
      </c>
      <c r="L195" s="13">
        <v>0</v>
      </c>
      <c r="M195" s="13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3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3">
        <v>20</v>
      </c>
      <c r="L196" s="13">
        <v>20</v>
      </c>
      <c r="M196" s="13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3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3">
        <v>20</v>
      </c>
      <c r="L197" s="13">
        <v>15</v>
      </c>
      <c r="M197" s="13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3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3">
        <v>0</v>
      </c>
      <c r="L198" s="13">
        <v>1</v>
      </c>
      <c r="M198" s="13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3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3">
        <v>20</v>
      </c>
      <c r="L199" s="13">
        <v>3</v>
      </c>
      <c r="M199" s="13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3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3">
        <v>20</v>
      </c>
      <c r="L200" s="13">
        <v>10</v>
      </c>
      <c r="M200" s="13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3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3">
        <v>0</v>
      </c>
      <c r="L201" s="13">
        <v>0</v>
      </c>
      <c r="M201" s="13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3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3">
        <v>20</v>
      </c>
      <c r="L202" s="13">
        <v>15</v>
      </c>
      <c r="M202" s="13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3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3">
        <v>20</v>
      </c>
      <c r="L203" s="13">
        <v>15</v>
      </c>
      <c r="M203" s="13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3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3">
        <v>0</v>
      </c>
      <c r="L204" s="13">
        <v>1</v>
      </c>
      <c r="M204" s="13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3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3">
        <v>20</v>
      </c>
      <c r="L205" s="13">
        <v>7</v>
      </c>
      <c r="M205" s="13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3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3">
        <v>20</v>
      </c>
      <c r="L206" s="13">
        <v>10</v>
      </c>
      <c r="M206" s="13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3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3">
        <v>0</v>
      </c>
      <c r="L207" s="13">
        <v>0</v>
      </c>
      <c r="M207" s="13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3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3">
        <v>20</v>
      </c>
      <c r="L208" s="13">
        <v>7</v>
      </c>
      <c r="M208" s="13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3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3">
        <v>20</v>
      </c>
      <c r="L209" s="13">
        <v>10</v>
      </c>
      <c r="M209" s="13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3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3">
        <v>0</v>
      </c>
      <c r="L210" s="13">
        <v>1</v>
      </c>
      <c r="M210" s="13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3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3">
        <v>20</v>
      </c>
      <c r="L211" s="13">
        <v>15</v>
      </c>
      <c r="M211" s="13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3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3">
        <v>20</v>
      </c>
      <c r="L212" s="13">
        <v>5</v>
      </c>
      <c r="M212" s="13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3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3">
        <v>0</v>
      </c>
      <c r="L213" s="13">
        <v>0</v>
      </c>
      <c r="M213" s="13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3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3">
        <v>20</v>
      </c>
      <c r="L214" s="13">
        <v>20</v>
      </c>
      <c r="M214" s="13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3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3">
        <v>20</v>
      </c>
      <c r="L215" s="13">
        <v>12</v>
      </c>
      <c r="M215" s="13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3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3">
        <v>0</v>
      </c>
      <c r="L216" s="13">
        <v>2</v>
      </c>
      <c r="M216" s="13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3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3">
        <v>20</v>
      </c>
      <c r="L217" s="13">
        <v>5</v>
      </c>
      <c r="M217" s="13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3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3">
        <v>20</v>
      </c>
      <c r="L218" s="13">
        <v>10</v>
      </c>
      <c r="M218" s="13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3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3">
        <v>0</v>
      </c>
      <c r="L219" s="13">
        <v>0</v>
      </c>
      <c r="M219" s="13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3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3">
        <v>20</v>
      </c>
      <c r="L220" s="13">
        <v>3</v>
      </c>
      <c r="M220" s="13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3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3">
        <v>20</v>
      </c>
      <c r="L221" s="13">
        <v>15</v>
      </c>
      <c r="M221" s="13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3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3">
        <v>0</v>
      </c>
      <c r="L222" s="13">
        <v>1</v>
      </c>
      <c r="M222" s="13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3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3">
        <v>20</v>
      </c>
      <c r="L223" s="13">
        <v>7</v>
      </c>
      <c r="M223" s="13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3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3">
        <v>20</v>
      </c>
      <c r="L224" s="13">
        <v>10</v>
      </c>
      <c r="M224" s="13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3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3">
        <v>0</v>
      </c>
      <c r="L225" s="13">
        <v>0</v>
      </c>
      <c r="M225" s="13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3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3">
        <v>20</v>
      </c>
      <c r="L226" s="13">
        <v>20</v>
      </c>
      <c r="M226" s="13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3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3">
        <v>20</v>
      </c>
      <c r="L227" s="13">
        <v>15</v>
      </c>
      <c r="M227" s="13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3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3">
        <v>0</v>
      </c>
      <c r="L228" s="13">
        <v>1</v>
      </c>
      <c r="M228" s="13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3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3">
        <v>20</v>
      </c>
      <c r="L229" s="13">
        <v>3</v>
      </c>
      <c r="M229" s="13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3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3">
        <v>20</v>
      </c>
      <c r="L230" s="13">
        <v>10</v>
      </c>
      <c r="M230" s="13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3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3">
        <v>0</v>
      </c>
      <c r="L231" s="13">
        <v>0</v>
      </c>
      <c r="M231" s="13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3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3">
        <v>20</v>
      </c>
      <c r="L232" s="13">
        <v>15</v>
      </c>
      <c r="M232" s="13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3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3">
        <v>20</v>
      </c>
      <c r="L233" s="13">
        <v>15</v>
      </c>
      <c r="M233" s="13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3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3">
        <v>0</v>
      </c>
      <c r="L234" s="13">
        <v>1</v>
      </c>
      <c r="M234" s="13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3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3">
        <v>20</v>
      </c>
      <c r="L235" s="13">
        <v>7</v>
      </c>
      <c r="M235" s="13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3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3">
        <v>20</v>
      </c>
      <c r="L236" s="13">
        <v>10</v>
      </c>
      <c r="M236" s="13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3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3">
        <v>0</v>
      </c>
      <c r="L237" s="13">
        <v>0</v>
      </c>
      <c r="M237" s="13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3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3">
        <v>20</v>
      </c>
      <c r="L238" s="13">
        <v>15</v>
      </c>
      <c r="M238" s="13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3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3">
        <v>20</v>
      </c>
      <c r="L239" s="13">
        <v>12</v>
      </c>
      <c r="M239" s="13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3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3">
        <v>0</v>
      </c>
      <c r="L240" s="13">
        <v>2</v>
      </c>
      <c r="M240" s="13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3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3">
        <v>20</v>
      </c>
      <c r="L241" s="13">
        <v>5</v>
      </c>
      <c r="M241" s="13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3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3">
        <v>20</v>
      </c>
      <c r="L242" s="13">
        <v>10</v>
      </c>
      <c r="M242" s="13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3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3">
        <v>0</v>
      </c>
      <c r="L243" s="13">
        <v>0</v>
      </c>
      <c r="M243" s="13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3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3">
        <v>20</v>
      </c>
      <c r="L244" s="13">
        <v>3</v>
      </c>
      <c r="M244" s="13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3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3">
        <v>20</v>
      </c>
      <c r="L245" s="13">
        <v>15</v>
      </c>
      <c r="M245" s="13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3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3">
        <v>0</v>
      </c>
      <c r="L246" s="13">
        <v>1</v>
      </c>
      <c r="M246" s="13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3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3">
        <v>20</v>
      </c>
      <c r="L247" s="13">
        <v>7</v>
      </c>
      <c r="M247" s="13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3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3">
        <v>20</v>
      </c>
      <c r="L248" s="13">
        <v>10</v>
      </c>
      <c r="M248" s="13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3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3">
        <v>0</v>
      </c>
      <c r="L249" s="13">
        <v>0</v>
      </c>
      <c r="M249" s="13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3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3">
        <v>20</v>
      </c>
      <c r="L250" s="13">
        <v>20</v>
      </c>
      <c r="M250" s="13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3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3">
        <v>20</v>
      </c>
      <c r="L251" s="13">
        <v>15</v>
      </c>
      <c r="M251" s="13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3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3">
        <v>0</v>
      </c>
      <c r="L252" s="13">
        <v>1</v>
      </c>
      <c r="M252" s="13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3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3">
        <v>20</v>
      </c>
      <c r="L253" s="13">
        <v>3</v>
      </c>
      <c r="M253" s="13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3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3">
        <v>20</v>
      </c>
      <c r="L254" s="13">
        <v>10</v>
      </c>
      <c r="M254" s="13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3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3">
        <v>0</v>
      </c>
      <c r="L255" s="13">
        <v>0</v>
      </c>
      <c r="M255" s="13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3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3">
        <v>20</v>
      </c>
      <c r="L256" s="13">
        <v>15</v>
      </c>
      <c r="M256" s="13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3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3">
        <v>0</v>
      </c>
      <c r="L257" s="13">
        <v>0</v>
      </c>
      <c r="M257" s="13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3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3">
        <v>20</v>
      </c>
      <c r="L258" s="13">
        <v>7</v>
      </c>
      <c r="M258" s="13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3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3">
        <v>20</v>
      </c>
      <c r="L259" s="13">
        <v>10</v>
      </c>
      <c r="M259" s="13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3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3">
        <v>0</v>
      </c>
      <c r="L260" s="13">
        <v>1</v>
      </c>
      <c r="M260" s="13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3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3">
        <v>20</v>
      </c>
      <c r="L261" s="13">
        <v>15</v>
      </c>
      <c r="M261" s="13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3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3">
        <v>20</v>
      </c>
      <c r="L262" s="13">
        <v>5</v>
      </c>
      <c r="M262" s="13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3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3">
        <v>0</v>
      </c>
      <c r="L263" s="13">
        <v>0</v>
      </c>
      <c r="M263" s="13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3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3">
        <v>20</v>
      </c>
      <c r="L264" s="13">
        <v>20</v>
      </c>
      <c r="M264" s="13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3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3">
        <v>20</v>
      </c>
      <c r="L265" s="13">
        <v>12</v>
      </c>
      <c r="M265" s="13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3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3">
        <v>0</v>
      </c>
      <c r="L266" s="13">
        <v>2</v>
      </c>
      <c r="M266" s="13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3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3">
        <v>20</v>
      </c>
      <c r="L267" s="13">
        <v>5</v>
      </c>
      <c r="M267" s="13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3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3">
        <v>20</v>
      </c>
      <c r="L268" s="13">
        <v>10</v>
      </c>
      <c r="M268" s="13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3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3">
        <v>0</v>
      </c>
      <c r="L269" s="13">
        <v>0</v>
      </c>
      <c r="M269" s="13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3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3">
        <v>20</v>
      </c>
      <c r="L270" s="13">
        <v>3</v>
      </c>
      <c r="M270" s="13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3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3">
        <v>20</v>
      </c>
      <c r="L271" s="13">
        <v>15</v>
      </c>
      <c r="M271" s="13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3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3">
        <v>0</v>
      </c>
      <c r="L272" s="13">
        <v>1</v>
      </c>
      <c r="M272" s="13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3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3">
        <v>20</v>
      </c>
      <c r="L273" s="13">
        <v>7</v>
      </c>
      <c r="M273" s="13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3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3">
        <v>20</v>
      </c>
      <c r="L274" s="13">
        <v>10</v>
      </c>
      <c r="M274" s="13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3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3">
        <v>0</v>
      </c>
      <c r="L275" s="13">
        <v>0</v>
      </c>
      <c r="M275" s="13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3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3">
        <v>20</v>
      </c>
      <c r="L276" s="13">
        <v>20</v>
      </c>
      <c r="M276" s="13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3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3">
        <v>20</v>
      </c>
      <c r="L277" s="13">
        <v>15</v>
      </c>
      <c r="M277" s="13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3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3">
        <v>0</v>
      </c>
      <c r="L278" s="13">
        <v>1</v>
      </c>
      <c r="M278" s="13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3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3">
        <v>20</v>
      </c>
      <c r="L279" s="13">
        <v>3</v>
      </c>
      <c r="M279" s="13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3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3">
        <v>20</v>
      </c>
      <c r="L280" s="13">
        <v>10</v>
      </c>
      <c r="M280" s="13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3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3">
        <v>0</v>
      </c>
      <c r="L281" s="13">
        <v>0</v>
      </c>
      <c r="M281" s="13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3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3">
        <v>20</v>
      </c>
      <c r="L282" s="13">
        <v>15</v>
      </c>
      <c r="M282" s="13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3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3">
        <v>20</v>
      </c>
      <c r="L283" s="13">
        <v>15</v>
      </c>
      <c r="M283" s="13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3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3">
        <v>0</v>
      </c>
      <c r="L284" s="13">
        <v>1</v>
      </c>
      <c r="M284" s="13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3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3">
        <v>20</v>
      </c>
      <c r="L285" s="13">
        <v>7</v>
      </c>
      <c r="M285" s="13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3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3">
        <v>20</v>
      </c>
      <c r="L286" s="13">
        <v>10</v>
      </c>
      <c r="M286" s="13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3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3">
        <v>0</v>
      </c>
      <c r="L287" s="13">
        <v>0</v>
      </c>
      <c r="M287" s="13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3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3">
        <v>20</v>
      </c>
      <c r="L288" s="13">
        <v>20</v>
      </c>
      <c r="M288" s="13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3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3">
        <v>20</v>
      </c>
      <c r="L289" s="13">
        <v>12</v>
      </c>
      <c r="M289" s="13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3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3">
        <v>0</v>
      </c>
      <c r="L290" s="13">
        <v>2</v>
      </c>
      <c r="M290" s="13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3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3">
        <v>20</v>
      </c>
      <c r="L291" s="13">
        <v>5</v>
      </c>
      <c r="M291" s="13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3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3">
        <v>20</v>
      </c>
      <c r="L292" s="13">
        <v>10</v>
      </c>
      <c r="M292" s="13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3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3">
        <v>0</v>
      </c>
      <c r="L293" s="13">
        <v>0</v>
      </c>
      <c r="M293" s="13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3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3">
        <v>20</v>
      </c>
      <c r="L294" s="13">
        <v>3</v>
      </c>
      <c r="M294" s="13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3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3">
        <v>20</v>
      </c>
      <c r="L295" s="13">
        <v>15</v>
      </c>
      <c r="M295" s="13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3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3">
        <v>0</v>
      </c>
      <c r="L296" s="13">
        <v>1</v>
      </c>
      <c r="M296" s="13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D02E-E5BE-4AEA-839A-25C23D3D6DCB}">
  <sheetPr>
    <tabColor theme="3" tint="0.749992370372631"/>
  </sheetPr>
  <dimension ref="A1:B7"/>
  <sheetViews>
    <sheetView workbookViewId="0">
      <selection activeCell="K28" sqref="K28"/>
    </sheetView>
  </sheetViews>
  <sheetFormatPr defaultRowHeight="14.25"/>
  <cols>
    <col min="1" max="1" width="2.625" style="12" bestFit="1" customWidth="1"/>
    <col min="2" max="2" width="91.75" bestFit="1" customWidth="1"/>
  </cols>
  <sheetData>
    <row r="1" spans="1:2" ht="114">
      <c r="B1" s="25" t="s">
        <v>346</v>
      </c>
    </row>
    <row r="2" spans="1:2">
      <c r="B2" t="s">
        <v>317</v>
      </c>
    </row>
    <row r="3" spans="1:2">
      <c r="B3" t="s">
        <v>347</v>
      </c>
    </row>
    <row r="4" spans="1:2" ht="15">
      <c r="A4" s="12" t="s">
        <v>313</v>
      </c>
      <c r="B4" s="20" t="s">
        <v>334</v>
      </c>
    </row>
    <row r="5" spans="1:2" ht="15">
      <c r="A5" s="12" t="s">
        <v>314</v>
      </c>
      <c r="B5" t="s">
        <v>333</v>
      </c>
    </row>
    <row r="6" spans="1:2" ht="15">
      <c r="A6" s="12" t="s">
        <v>315</v>
      </c>
      <c r="B6" s="19" t="s">
        <v>336</v>
      </c>
    </row>
    <row r="7" spans="1:2" ht="15">
      <c r="A7" s="12" t="s">
        <v>316</v>
      </c>
      <c r="B7" s="19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N73"/>
  <sheetViews>
    <sheetView showGridLines="0" workbookViewId="0">
      <selection activeCell="K28" sqref="K28"/>
    </sheetView>
  </sheetViews>
  <sheetFormatPr defaultRowHeight="14.25"/>
  <cols>
    <col min="1" max="1" width="19.125" bestFit="1" customWidth="1"/>
    <col min="2" max="2" width="4.5" customWidth="1"/>
    <col min="3" max="3" width="43.125" bestFit="1" customWidth="1"/>
    <col min="4" max="4" width="19.5" bestFit="1" customWidth="1"/>
    <col min="5" max="7" width="12" bestFit="1" customWidth="1"/>
    <col min="8" max="8" width="13" bestFit="1" customWidth="1"/>
    <col min="9" max="9" width="10.875" bestFit="1" customWidth="1"/>
    <col min="10" max="10" width="10.5" bestFit="1" customWidth="1"/>
    <col min="11" max="11" width="12" bestFit="1" customWidth="1"/>
    <col min="12" max="12" width="14.25" bestFit="1" customWidth="1"/>
    <col min="13" max="14" width="12" bestFit="1" customWidth="1"/>
    <col min="15" max="15" width="13.25" bestFit="1" customWidth="1"/>
    <col min="16" max="16" width="12" bestFit="1" customWidth="1"/>
    <col min="17" max="17" width="40.25" bestFit="1" customWidth="1"/>
    <col min="18" max="18" width="26.875" bestFit="1" customWidth="1"/>
    <col min="19" max="19" width="24.25" bestFit="1" customWidth="1"/>
    <col min="20" max="20" width="21.75" bestFit="1" customWidth="1"/>
    <col min="21" max="22" width="10.5" bestFit="1" customWidth="1"/>
    <col min="23" max="23" width="12" bestFit="1" customWidth="1"/>
    <col min="24" max="26" width="10.5" bestFit="1" customWidth="1"/>
    <col min="27" max="27" width="12" bestFit="1" customWidth="1"/>
    <col min="28" max="28" width="19.125" bestFit="1" customWidth="1"/>
    <col min="29" max="29" width="12" bestFit="1" customWidth="1"/>
    <col min="30" max="30" width="10.5" bestFit="1" customWidth="1"/>
    <col min="31" max="32" width="12" bestFit="1" customWidth="1"/>
    <col min="33" max="33" width="10.5" bestFit="1" customWidth="1"/>
    <col min="34" max="35" width="12" bestFit="1" customWidth="1"/>
    <col min="36" max="36" width="31" bestFit="1" customWidth="1"/>
    <col min="37" max="37" width="40.25" bestFit="1" customWidth="1"/>
    <col min="38" max="38" width="26.875" bestFit="1" customWidth="1"/>
    <col min="39" max="39" width="24.25" bestFit="1" customWidth="1"/>
  </cols>
  <sheetData>
    <row r="6" spans="3:4">
      <c r="C6" t="s">
        <v>334</v>
      </c>
    </row>
    <row r="7" spans="3:4">
      <c r="C7" t="s">
        <v>320</v>
      </c>
    </row>
    <row r="8" spans="3:4">
      <c r="C8" s="17">
        <v>7633</v>
      </c>
    </row>
    <row r="12" spans="3:4">
      <c r="C12" t="s">
        <v>335</v>
      </c>
    </row>
    <row r="13" spans="3:4">
      <c r="C13" s="16" t="s">
        <v>318</v>
      </c>
      <c r="D13" t="s">
        <v>344</v>
      </c>
    </row>
    <row r="14" spans="3:4">
      <c r="C14" s="14" t="s">
        <v>321</v>
      </c>
      <c r="D14" s="18">
        <v>65</v>
      </c>
    </row>
    <row r="15" spans="3:4">
      <c r="C15" s="14" t="s">
        <v>322</v>
      </c>
      <c r="D15" s="18">
        <v>82</v>
      </c>
    </row>
    <row r="16" spans="3:4">
      <c r="C16" s="14" t="s">
        <v>323</v>
      </c>
      <c r="D16" s="18">
        <v>801</v>
      </c>
    </row>
    <row r="17" spans="3:5">
      <c r="C17" s="14" t="s">
        <v>324</v>
      </c>
      <c r="D17" s="18">
        <v>782</v>
      </c>
    </row>
    <row r="18" spans="3:5">
      <c r="C18" s="14" t="s">
        <v>325</v>
      </c>
      <c r="D18" s="18">
        <v>777</v>
      </c>
    </row>
    <row r="19" spans="3:5">
      <c r="C19" s="14" t="s">
        <v>326</v>
      </c>
      <c r="D19" s="18">
        <v>770</v>
      </c>
    </row>
    <row r="20" spans="3:5">
      <c r="C20" s="14" t="s">
        <v>327</v>
      </c>
      <c r="D20" s="18">
        <v>784</v>
      </c>
    </row>
    <row r="21" spans="3:5">
      <c r="C21" s="14" t="s">
        <v>328</v>
      </c>
      <c r="D21" s="18">
        <v>787</v>
      </c>
    </row>
    <row r="22" spans="3:5">
      <c r="C22" s="14" t="s">
        <v>329</v>
      </c>
      <c r="D22" s="18">
        <v>780</v>
      </c>
    </row>
    <row r="23" spans="3:5">
      <c r="C23" s="14" t="s">
        <v>330</v>
      </c>
      <c r="D23" s="18">
        <v>832</v>
      </c>
    </row>
    <row r="24" spans="3:5">
      <c r="C24" s="14" t="s">
        <v>331</v>
      </c>
      <c r="D24" s="18">
        <v>784</v>
      </c>
    </row>
    <row r="25" spans="3:5">
      <c r="C25" s="14" t="s">
        <v>332</v>
      </c>
      <c r="D25" s="18">
        <v>389</v>
      </c>
    </row>
    <row r="26" spans="3:5">
      <c r="C26" s="14" t="s">
        <v>319</v>
      </c>
      <c r="D26" s="18">
        <v>7633</v>
      </c>
      <c r="E26" s="22">
        <f>GETPIVOTDATA("Total Value",$C$13)</f>
        <v>7633</v>
      </c>
    </row>
    <row r="32" spans="3:5">
      <c r="C32" t="s">
        <v>337</v>
      </c>
    </row>
    <row r="35" spans="3:6">
      <c r="C35" s="16" t="s">
        <v>343</v>
      </c>
      <c r="D35" s="16" t="s">
        <v>338</v>
      </c>
    </row>
    <row r="36" spans="3:6">
      <c r="C36" s="16" t="s">
        <v>318</v>
      </c>
      <c r="D36" t="s">
        <v>23</v>
      </c>
      <c r="E36" t="s">
        <v>19</v>
      </c>
      <c r="F36" t="s">
        <v>319</v>
      </c>
    </row>
    <row r="37" spans="3:6">
      <c r="C37" s="14" t="s">
        <v>321</v>
      </c>
      <c r="D37" s="17">
        <v>5</v>
      </c>
      <c r="E37" s="17">
        <v>60</v>
      </c>
      <c r="F37" s="17">
        <v>65</v>
      </c>
    </row>
    <row r="38" spans="3:6">
      <c r="C38" s="14" t="s">
        <v>322</v>
      </c>
      <c r="D38" s="17">
        <v>62</v>
      </c>
      <c r="E38" s="17">
        <v>20</v>
      </c>
      <c r="F38" s="17">
        <v>82</v>
      </c>
    </row>
    <row r="39" spans="3:6">
      <c r="C39" s="14" t="s">
        <v>323</v>
      </c>
      <c r="D39" s="17">
        <v>433</v>
      </c>
      <c r="E39" s="17">
        <v>368</v>
      </c>
      <c r="F39" s="17">
        <v>801</v>
      </c>
    </row>
    <row r="40" spans="3:6">
      <c r="C40" s="14" t="s">
        <v>324</v>
      </c>
      <c r="D40" s="17">
        <v>399</v>
      </c>
      <c r="E40" s="17">
        <v>383</v>
      </c>
      <c r="F40" s="17">
        <v>782</v>
      </c>
    </row>
    <row r="41" spans="3:6">
      <c r="C41" s="14" t="s">
        <v>325</v>
      </c>
      <c r="D41" s="17">
        <v>388</v>
      </c>
      <c r="E41" s="17">
        <v>389</v>
      </c>
      <c r="F41" s="17">
        <v>777</v>
      </c>
    </row>
    <row r="42" spans="3:6">
      <c r="C42" s="14" t="s">
        <v>326</v>
      </c>
      <c r="D42" s="17">
        <v>379</v>
      </c>
      <c r="E42" s="17">
        <v>391</v>
      </c>
      <c r="F42" s="17">
        <v>770</v>
      </c>
    </row>
    <row r="43" spans="3:6">
      <c r="C43" s="14" t="s">
        <v>327</v>
      </c>
      <c r="D43" s="17">
        <v>388</v>
      </c>
      <c r="E43" s="17">
        <v>396</v>
      </c>
      <c r="F43" s="17">
        <v>784</v>
      </c>
    </row>
    <row r="44" spans="3:6">
      <c r="C44" s="14" t="s">
        <v>328</v>
      </c>
      <c r="D44" s="17">
        <v>384</v>
      </c>
      <c r="E44" s="17">
        <v>403</v>
      </c>
      <c r="F44" s="17">
        <v>787</v>
      </c>
    </row>
    <row r="45" spans="3:6">
      <c r="C45" s="14" t="s">
        <v>329</v>
      </c>
      <c r="D45" s="17">
        <v>384</v>
      </c>
      <c r="E45" s="17">
        <v>396</v>
      </c>
      <c r="F45" s="17">
        <v>780</v>
      </c>
    </row>
    <row r="46" spans="3:6">
      <c r="C46" s="14" t="s">
        <v>330</v>
      </c>
      <c r="D46" s="17">
        <v>433</v>
      </c>
      <c r="E46" s="17">
        <v>399</v>
      </c>
      <c r="F46" s="17">
        <v>832</v>
      </c>
    </row>
    <row r="47" spans="3:6">
      <c r="C47" s="14" t="s">
        <v>331</v>
      </c>
      <c r="D47" s="17">
        <v>384</v>
      </c>
      <c r="E47" s="17">
        <v>400</v>
      </c>
      <c r="F47" s="17">
        <v>784</v>
      </c>
    </row>
    <row r="48" spans="3:6">
      <c r="C48" s="14" t="s">
        <v>332</v>
      </c>
      <c r="D48" s="17">
        <v>208</v>
      </c>
      <c r="E48" s="17">
        <v>181</v>
      </c>
      <c r="F48" s="17">
        <v>389</v>
      </c>
    </row>
    <row r="49" spans="3:13">
      <c r="C49" s="14" t="s">
        <v>319</v>
      </c>
      <c r="D49" s="17">
        <v>3847</v>
      </c>
      <c r="E49" s="17">
        <v>3786</v>
      </c>
      <c r="F49" s="17">
        <v>7633</v>
      </c>
      <c r="G49" s="22">
        <f>GETPIVOTDATA("Total Value",$C$35)</f>
        <v>7633</v>
      </c>
    </row>
    <row r="55" spans="3:13">
      <c r="C55" t="s">
        <v>340</v>
      </c>
    </row>
    <row r="58" spans="3:13">
      <c r="C58" s="16" t="s">
        <v>345</v>
      </c>
      <c r="D58" s="16" t="s">
        <v>338</v>
      </c>
    </row>
    <row r="59" spans="3:13">
      <c r="D59" t="s">
        <v>24</v>
      </c>
      <c r="E59" t="s">
        <v>20</v>
      </c>
      <c r="H59" t="s">
        <v>341</v>
      </c>
      <c r="I59" t="s">
        <v>27</v>
      </c>
      <c r="L59" t="s">
        <v>342</v>
      </c>
      <c r="M59" t="s">
        <v>319</v>
      </c>
    </row>
    <row r="60" spans="3:13">
      <c r="C60" s="16" t="s">
        <v>318</v>
      </c>
      <c r="E60" t="s">
        <v>22</v>
      </c>
      <c r="F60" t="s">
        <v>26</v>
      </c>
      <c r="G60" t="s">
        <v>18</v>
      </c>
      <c r="I60" t="s">
        <v>22</v>
      </c>
      <c r="J60" t="s">
        <v>26</v>
      </c>
      <c r="K60" t="s">
        <v>18</v>
      </c>
    </row>
    <row r="61" spans="3:13">
      <c r="C61" s="14" t="s">
        <v>321</v>
      </c>
      <c r="D61" s="17">
        <v>5</v>
      </c>
      <c r="E61" s="17"/>
      <c r="F61" s="17"/>
      <c r="G61" s="17">
        <v>60</v>
      </c>
      <c r="H61" s="17">
        <v>60</v>
      </c>
      <c r="I61" s="17"/>
      <c r="J61" s="17"/>
      <c r="K61" s="17"/>
      <c r="L61" s="17"/>
      <c r="M61" s="17">
        <v>65</v>
      </c>
    </row>
    <row r="62" spans="3:13">
      <c r="C62" s="14" t="s">
        <v>322</v>
      </c>
      <c r="D62" s="17"/>
      <c r="E62" s="17"/>
      <c r="F62" s="17"/>
      <c r="G62" s="17">
        <v>62</v>
      </c>
      <c r="H62" s="17">
        <v>62</v>
      </c>
      <c r="I62" s="17"/>
      <c r="J62" s="17">
        <v>20</v>
      </c>
      <c r="K62" s="17"/>
      <c r="L62" s="17">
        <v>20</v>
      </c>
      <c r="M62" s="17">
        <v>82</v>
      </c>
    </row>
    <row r="63" spans="3:13">
      <c r="C63" s="14" t="s">
        <v>323</v>
      </c>
      <c r="D63" s="17">
        <v>138</v>
      </c>
      <c r="E63" s="17">
        <v>23</v>
      </c>
      <c r="F63" s="17">
        <v>113</v>
      </c>
      <c r="G63" s="17">
        <v>301</v>
      </c>
      <c r="H63" s="17">
        <v>437</v>
      </c>
      <c r="I63" s="17">
        <v>10</v>
      </c>
      <c r="J63" s="17">
        <v>45</v>
      </c>
      <c r="K63" s="17">
        <v>171</v>
      </c>
      <c r="L63" s="17">
        <v>226</v>
      </c>
      <c r="M63" s="17">
        <v>801</v>
      </c>
    </row>
    <row r="64" spans="3:13">
      <c r="C64" s="14" t="s">
        <v>324</v>
      </c>
      <c r="D64" s="17">
        <v>182</v>
      </c>
      <c r="E64" s="17">
        <v>20</v>
      </c>
      <c r="F64" s="17">
        <v>110</v>
      </c>
      <c r="G64" s="17">
        <v>217</v>
      </c>
      <c r="H64" s="17">
        <v>347</v>
      </c>
      <c r="I64" s="17">
        <v>14</v>
      </c>
      <c r="J64" s="17">
        <v>33</v>
      </c>
      <c r="K64" s="17">
        <v>206</v>
      </c>
      <c r="L64" s="17">
        <v>253</v>
      </c>
      <c r="M64" s="17">
        <v>782</v>
      </c>
    </row>
    <row r="65" spans="3:14">
      <c r="C65" s="14" t="s">
        <v>325</v>
      </c>
      <c r="D65" s="17">
        <v>187</v>
      </c>
      <c r="E65" s="17">
        <v>20</v>
      </c>
      <c r="F65" s="17">
        <v>85</v>
      </c>
      <c r="G65" s="17">
        <v>217</v>
      </c>
      <c r="H65" s="17">
        <v>322</v>
      </c>
      <c r="I65" s="17">
        <v>14</v>
      </c>
      <c r="J65" s="17">
        <v>48</v>
      </c>
      <c r="K65" s="17">
        <v>206</v>
      </c>
      <c r="L65" s="17">
        <v>268</v>
      </c>
      <c r="M65" s="17">
        <v>777</v>
      </c>
    </row>
    <row r="66" spans="3:14">
      <c r="C66" s="14" t="s">
        <v>326</v>
      </c>
      <c r="D66" s="17">
        <v>130</v>
      </c>
      <c r="E66" s="17">
        <v>15</v>
      </c>
      <c r="F66" s="17">
        <v>90</v>
      </c>
      <c r="G66" s="17">
        <v>265</v>
      </c>
      <c r="H66" s="17">
        <v>370</v>
      </c>
      <c r="I66" s="17">
        <v>13</v>
      </c>
      <c r="J66" s="17">
        <v>51</v>
      </c>
      <c r="K66" s="17">
        <v>206</v>
      </c>
      <c r="L66" s="17">
        <v>270</v>
      </c>
      <c r="M66" s="17">
        <v>770</v>
      </c>
    </row>
    <row r="67" spans="3:14">
      <c r="C67" s="14" t="s">
        <v>327</v>
      </c>
      <c r="D67" s="17">
        <v>182</v>
      </c>
      <c r="E67" s="17">
        <v>24</v>
      </c>
      <c r="F67" s="17">
        <v>105</v>
      </c>
      <c r="G67" s="17">
        <v>207</v>
      </c>
      <c r="H67" s="17">
        <v>336</v>
      </c>
      <c r="I67" s="17">
        <v>14</v>
      </c>
      <c r="J67" s="17">
        <v>33</v>
      </c>
      <c r="K67" s="17">
        <v>219</v>
      </c>
      <c r="L67" s="17">
        <v>266</v>
      </c>
      <c r="M67" s="17">
        <v>784</v>
      </c>
    </row>
    <row r="68" spans="3:14">
      <c r="C68" s="14" t="s">
        <v>328</v>
      </c>
      <c r="D68" s="17">
        <v>242</v>
      </c>
      <c r="E68" s="17">
        <v>20</v>
      </c>
      <c r="F68" s="17">
        <v>105</v>
      </c>
      <c r="G68" s="17">
        <v>207</v>
      </c>
      <c r="H68" s="17">
        <v>332</v>
      </c>
      <c r="I68" s="17">
        <v>19</v>
      </c>
      <c r="J68" s="17">
        <v>33</v>
      </c>
      <c r="K68" s="17">
        <v>161</v>
      </c>
      <c r="L68" s="17">
        <v>213</v>
      </c>
      <c r="M68" s="17">
        <v>787</v>
      </c>
    </row>
    <row r="69" spans="3:14">
      <c r="C69" s="14" t="s">
        <v>329</v>
      </c>
      <c r="D69" s="17">
        <v>182</v>
      </c>
      <c r="E69" s="17">
        <v>20</v>
      </c>
      <c r="F69" s="17">
        <v>105</v>
      </c>
      <c r="G69" s="17">
        <v>207</v>
      </c>
      <c r="H69" s="17">
        <v>332</v>
      </c>
      <c r="I69" s="17">
        <v>14</v>
      </c>
      <c r="J69" s="17">
        <v>33</v>
      </c>
      <c r="K69" s="17">
        <v>219</v>
      </c>
      <c r="L69" s="17">
        <v>266</v>
      </c>
      <c r="M69" s="17">
        <v>780</v>
      </c>
    </row>
    <row r="70" spans="3:14">
      <c r="C70" s="14" t="s">
        <v>330</v>
      </c>
      <c r="D70" s="17">
        <v>182</v>
      </c>
      <c r="E70" s="17">
        <v>19</v>
      </c>
      <c r="F70" s="17">
        <v>100</v>
      </c>
      <c r="G70" s="17">
        <v>314</v>
      </c>
      <c r="H70" s="17">
        <v>433</v>
      </c>
      <c r="I70" s="17">
        <v>10</v>
      </c>
      <c r="J70" s="17">
        <v>33</v>
      </c>
      <c r="K70" s="17">
        <v>174</v>
      </c>
      <c r="L70" s="17">
        <v>217</v>
      </c>
      <c r="M70" s="17">
        <v>832</v>
      </c>
    </row>
    <row r="71" spans="3:14">
      <c r="C71" s="14" t="s">
        <v>331</v>
      </c>
      <c r="D71" s="17">
        <v>229</v>
      </c>
      <c r="E71" s="17">
        <v>20</v>
      </c>
      <c r="F71" s="17">
        <v>105</v>
      </c>
      <c r="G71" s="17">
        <v>207</v>
      </c>
      <c r="H71" s="17">
        <v>332</v>
      </c>
      <c r="I71" s="17">
        <v>14</v>
      </c>
      <c r="J71" s="17">
        <v>48</v>
      </c>
      <c r="K71" s="17">
        <v>161</v>
      </c>
      <c r="L71" s="17">
        <v>223</v>
      </c>
      <c r="M71" s="17">
        <v>784</v>
      </c>
    </row>
    <row r="72" spans="3:14">
      <c r="C72" s="14" t="s">
        <v>332</v>
      </c>
      <c r="D72" s="17">
        <v>95</v>
      </c>
      <c r="E72" s="17">
        <v>11</v>
      </c>
      <c r="F72" s="17">
        <v>40</v>
      </c>
      <c r="G72" s="17">
        <v>157</v>
      </c>
      <c r="H72" s="17">
        <v>208</v>
      </c>
      <c r="I72" s="17">
        <v>10</v>
      </c>
      <c r="J72" s="17">
        <v>18</v>
      </c>
      <c r="K72" s="17">
        <v>58</v>
      </c>
      <c r="L72" s="17">
        <v>86</v>
      </c>
      <c r="M72" s="17">
        <v>389</v>
      </c>
    </row>
    <row r="73" spans="3:14">
      <c r="C73" s="14" t="s">
        <v>319</v>
      </c>
      <c r="D73" s="17">
        <v>1754</v>
      </c>
      <c r="E73" s="17">
        <v>192</v>
      </c>
      <c r="F73" s="17">
        <v>958</v>
      </c>
      <c r="G73" s="17">
        <v>2421</v>
      </c>
      <c r="H73" s="17">
        <v>3571</v>
      </c>
      <c r="I73" s="17">
        <v>132</v>
      </c>
      <c r="J73" s="17">
        <v>395</v>
      </c>
      <c r="K73" s="17">
        <v>1781</v>
      </c>
      <c r="L73" s="17">
        <v>2308</v>
      </c>
      <c r="M73" s="17">
        <v>7633</v>
      </c>
      <c r="N73" s="22">
        <f>GETPIVOTDATA("Total Value",$C$58)</f>
        <v>7633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497"/>
  <sheetViews>
    <sheetView showGridLines="0" showRowColHeaders="0" tabSelected="1" zoomScale="80" zoomScaleNormal="80" workbookViewId="0">
      <pane ySplit="1" topLeftCell="A2" activePane="bottomLeft" state="frozen"/>
      <selection pane="bottomLeft" activeCell="X1" sqref="X1"/>
    </sheetView>
  </sheetViews>
  <sheetFormatPr defaultColWidth="0" defaultRowHeight="14.25" zeroHeight="1"/>
  <cols>
    <col min="1" max="1" width="12.125" customWidth="1"/>
    <col min="2" max="2" width="11.875" customWidth="1"/>
    <col min="3" max="4" width="12.125" customWidth="1"/>
    <col min="5" max="5" width="8" customWidth="1"/>
    <col min="6" max="6" width="15.625" customWidth="1"/>
    <col min="7" max="11" width="9" customWidth="1"/>
    <col min="12" max="12" width="6.625" customWidth="1"/>
    <col min="13" max="24" width="9" customWidth="1"/>
    <col min="25" max="16384" width="9" hidden="1"/>
  </cols>
  <sheetData>
    <row r="1" spans="1:3" ht="77.25" customHeight="1"/>
    <row r="2" spans="1:3" s="21" customFormat="1" ht="10.5" customHeight="1">
      <c r="A2" s="23"/>
      <c r="B2" s="23"/>
      <c r="C2" s="23"/>
    </row>
    <row r="3" spans="1:3" s="21" customFormat="1" ht="9.75" customHeight="1">
      <c r="A3" s="23"/>
      <c r="B3" s="23"/>
      <c r="C3" s="23"/>
    </row>
    <row r="4" spans="1:3" s="21" customFormat="1" ht="33" customHeight="1">
      <c r="A4" s="23"/>
      <c r="B4" s="23"/>
      <c r="C4" s="23"/>
    </row>
    <row r="5" spans="1:3" s="21" customFormat="1">
      <c r="A5" s="23"/>
      <c r="B5" s="23"/>
      <c r="C5" s="23"/>
    </row>
    <row r="6" spans="1:3" s="21" customFormat="1">
      <c r="A6" s="23"/>
      <c r="B6" s="23"/>
      <c r="C6" s="23"/>
    </row>
    <row r="7" spans="1:3" s="21" customFormat="1">
      <c r="A7" s="23"/>
      <c r="B7" s="23"/>
      <c r="C7" s="23"/>
    </row>
    <row r="8" spans="1:3" s="21" customFormat="1">
      <c r="A8" s="23"/>
      <c r="B8" s="23"/>
      <c r="C8" s="23"/>
    </row>
    <row r="9" spans="1:3" s="21" customFormat="1">
      <c r="A9" s="23"/>
      <c r="B9" s="23"/>
      <c r="C9" s="23"/>
    </row>
    <row r="10" spans="1:3" s="21" customFormat="1">
      <c r="A10" s="23"/>
      <c r="B10" s="23"/>
      <c r="C10" s="23"/>
    </row>
    <row r="11" spans="1:3" s="21" customFormat="1">
      <c r="A11" s="23"/>
      <c r="B11" s="23"/>
      <c r="C11" s="23"/>
    </row>
    <row r="12" spans="1:3" s="21" customFormat="1" ht="16.5">
      <c r="A12" s="24"/>
      <c r="B12" s="23"/>
      <c r="C12" s="23"/>
    </row>
    <row r="13" spans="1:3" s="21" customFormat="1">
      <c r="A13" s="23"/>
      <c r="B13" s="23"/>
      <c r="C13" s="23"/>
    </row>
    <row r="14" spans="1:3" s="21" customFormat="1">
      <c r="A14" s="23"/>
      <c r="B14" s="23"/>
      <c r="C14" s="23"/>
    </row>
    <row r="15" spans="1:3" s="21" customFormat="1">
      <c r="A15" s="23"/>
      <c r="B15" s="23"/>
      <c r="C15" s="23"/>
    </row>
    <row r="16" spans="1:3" s="21" customFormat="1">
      <c r="A16" s="23"/>
      <c r="B16" s="23"/>
      <c r="C16" s="23"/>
    </row>
    <row r="17" spans="1:3" s="21" customFormat="1">
      <c r="A17" s="23"/>
      <c r="B17" s="23"/>
      <c r="C17" s="23"/>
    </row>
    <row r="18" spans="1:3" s="21" customFormat="1">
      <c r="A18" s="23"/>
      <c r="B18" s="23"/>
      <c r="C18" s="23"/>
    </row>
    <row r="19" spans="1:3" s="21" customFormat="1">
      <c r="A19" s="23"/>
      <c r="B19" s="23"/>
      <c r="C19" s="23"/>
    </row>
    <row r="20" spans="1:3" s="21" customFormat="1">
      <c r="A20" s="23"/>
      <c r="B20" s="23"/>
      <c r="C20" s="23"/>
    </row>
    <row r="21" spans="1:3" s="21" customFormat="1">
      <c r="A21" s="23"/>
      <c r="B21" s="23"/>
      <c r="C21" s="23"/>
    </row>
    <row r="22" spans="1:3" s="21" customFormat="1">
      <c r="A22" s="23"/>
      <c r="B22" s="23"/>
      <c r="C22" s="23"/>
    </row>
    <row r="23" spans="1:3" s="21" customFormat="1">
      <c r="A23" s="23"/>
      <c r="B23" s="23"/>
      <c r="C23" s="23"/>
    </row>
    <row r="24" spans="1:3" s="21" customFormat="1">
      <c r="A24" s="23"/>
      <c r="B24" s="23"/>
      <c r="C24" s="23"/>
    </row>
    <row r="25" spans="1:3" s="21" customFormat="1">
      <c r="A25" s="23"/>
      <c r="B25" s="23"/>
      <c r="C25" s="23"/>
    </row>
    <row r="26" spans="1:3" s="21" customFormat="1">
      <c r="A26" s="23"/>
      <c r="B26" s="23"/>
      <c r="C26" s="23"/>
    </row>
    <row r="27" spans="1:3" s="21" customFormat="1">
      <c r="A27" s="23"/>
      <c r="B27" s="23"/>
      <c r="C27" s="23"/>
    </row>
    <row r="28" spans="1:3" s="21" customFormat="1">
      <c r="A28" s="23"/>
      <c r="B28" s="23"/>
      <c r="C28" s="23"/>
    </row>
    <row r="29" spans="1:3" s="21" customFormat="1">
      <c r="A29" s="23"/>
      <c r="B29" s="23"/>
      <c r="C29" s="23"/>
    </row>
    <row r="30" spans="1:3" s="21" customFormat="1">
      <c r="A30" s="23"/>
      <c r="B30" s="23"/>
      <c r="C30" s="23"/>
    </row>
    <row r="31" spans="1:3" s="21" customFormat="1">
      <c r="A31" s="23"/>
      <c r="B31" s="23"/>
      <c r="C31" s="23"/>
    </row>
    <row r="32" spans="1:3" s="21" customFormat="1">
      <c r="A32" s="23"/>
      <c r="B32" s="23"/>
      <c r="C32" s="23"/>
    </row>
    <row r="33" spans="1:3" s="21" customFormat="1">
      <c r="A33" s="23"/>
      <c r="B33" s="23"/>
      <c r="C33" s="23"/>
    </row>
    <row r="34" spans="1:3" s="21" customFormat="1">
      <c r="A34" s="23"/>
      <c r="B34" s="23"/>
      <c r="C34" s="23"/>
    </row>
    <row r="35" spans="1:3" s="21" customFormat="1">
      <c r="A35" s="23"/>
      <c r="B35" s="23"/>
      <c r="C35" s="23"/>
    </row>
    <row r="36" spans="1:3" s="21" customFormat="1">
      <c r="A36" s="23"/>
      <c r="B36" s="23"/>
      <c r="C36" s="23"/>
    </row>
    <row r="37" spans="1:3" s="21" customFormat="1">
      <c r="A37" s="23"/>
      <c r="B37" s="23"/>
      <c r="C37" s="23"/>
    </row>
    <row r="38" spans="1:3" s="21" customFormat="1">
      <c r="A38" s="23"/>
      <c r="B38" s="23"/>
      <c r="C38" s="23"/>
    </row>
    <row r="39" spans="1:3" s="21" customFormat="1">
      <c r="A39" s="23"/>
      <c r="B39" s="23"/>
      <c r="C39" s="23"/>
    </row>
    <row r="40" spans="1:3" s="21" customFormat="1">
      <c r="A40" s="23"/>
      <c r="B40" s="23"/>
      <c r="C40" s="23"/>
    </row>
    <row r="41" spans="1:3" s="21" customFormat="1">
      <c r="A41" s="23"/>
      <c r="B41" s="23"/>
      <c r="C41" s="23"/>
    </row>
    <row r="42" spans="1:3" s="21" customFormat="1">
      <c r="A42" s="23"/>
      <c r="B42" s="23"/>
      <c r="C42" s="23"/>
    </row>
    <row r="43" spans="1:3" s="21" customFormat="1">
      <c r="A43" s="23"/>
      <c r="B43" s="23"/>
      <c r="C43" s="23"/>
    </row>
    <row r="44" spans="1:3" s="21" customFormat="1">
      <c r="A44" s="23"/>
      <c r="B44" s="23"/>
      <c r="C44" s="23"/>
    </row>
    <row r="45" spans="1:3" s="21" customFormat="1">
      <c r="A45" s="23"/>
      <c r="B45" s="23"/>
      <c r="C45" s="23"/>
    </row>
    <row r="46" spans="1:3" s="21" customFormat="1">
      <c r="A46" s="23"/>
      <c r="B46" s="23"/>
      <c r="C46" s="23"/>
    </row>
    <row r="47" spans="1:3" s="21" customFormat="1">
      <c r="A47" s="23"/>
      <c r="B47" s="23"/>
      <c r="C47" s="23"/>
    </row>
    <row r="48" spans="1:3" s="21" customFormat="1">
      <c r="A48" s="23"/>
      <c r="B48" s="23"/>
      <c r="C48" s="23"/>
    </row>
    <row r="49" spans="1:3" s="21" customFormat="1">
      <c r="A49" s="23"/>
      <c r="B49" s="23"/>
      <c r="C49" s="23"/>
    </row>
    <row r="50" spans="1:3" s="21" customFormat="1">
      <c r="A50" s="23"/>
      <c r="B50" s="23"/>
      <c r="C50" s="23"/>
    </row>
    <row r="51" spans="1:3" s="21" customFormat="1">
      <c r="A51" s="23"/>
      <c r="B51" s="23"/>
      <c r="C51" s="23"/>
    </row>
    <row r="52" spans="1:3" s="21" customFormat="1">
      <c r="A52" s="23"/>
      <c r="B52" s="23"/>
      <c r="C52" s="23"/>
    </row>
    <row r="53" spans="1:3" s="21" customFormat="1">
      <c r="A53" s="23"/>
      <c r="B53" s="23"/>
      <c r="C53" s="23"/>
    </row>
    <row r="54" spans="1:3" s="21" customFormat="1">
      <c r="A54" s="23"/>
      <c r="B54" s="23"/>
      <c r="C54" s="23"/>
    </row>
    <row r="55" spans="1:3" s="21" customFormat="1">
      <c r="A55" s="23"/>
      <c r="B55" s="23"/>
      <c r="C55" s="23"/>
    </row>
    <row r="56" spans="1:3" s="21" customFormat="1">
      <c r="A56" s="23"/>
      <c r="B56" s="23"/>
      <c r="C56" s="23"/>
    </row>
    <row r="57" spans="1:3" s="21" customFormat="1">
      <c r="A57" s="23"/>
      <c r="B57" s="23"/>
      <c r="C57" s="23"/>
    </row>
    <row r="58" spans="1:3" s="21" customFormat="1">
      <c r="A58" s="23"/>
      <c r="B58" s="23"/>
      <c r="C58" s="23"/>
    </row>
    <row r="59" spans="1:3" s="21" customFormat="1">
      <c r="A59" s="23"/>
      <c r="B59" s="23"/>
      <c r="C59" s="23"/>
    </row>
    <row r="60" spans="1:3" s="21" customFormat="1">
      <c r="A60" s="23"/>
      <c r="B60" s="23"/>
      <c r="C60" s="23"/>
    </row>
    <row r="61" spans="1:3" s="21" customFormat="1">
      <c r="A61" s="23"/>
      <c r="B61" s="23"/>
      <c r="C61" s="23"/>
    </row>
    <row r="62" spans="1:3" s="21" customFormat="1">
      <c r="A62" s="23"/>
      <c r="B62" s="23"/>
      <c r="C62" s="23"/>
    </row>
    <row r="63" spans="1:3" s="21" customFormat="1">
      <c r="A63" s="23"/>
      <c r="B63" s="23"/>
      <c r="C63" s="23"/>
    </row>
    <row r="64" spans="1:3" s="21" customFormat="1">
      <c r="A64" s="23"/>
      <c r="B64" s="23"/>
      <c r="C64" s="23"/>
    </row>
    <row r="65" spans="1:3" s="21" customFormat="1">
      <c r="A65" s="23"/>
      <c r="B65" s="23"/>
      <c r="C65" s="23"/>
    </row>
    <row r="66" spans="1:3" s="21" customFormat="1">
      <c r="A66" s="23"/>
      <c r="B66" s="23"/>
      <c r="C66" s="23"/>
    </row>
    <row r="67" spans="1:3" s="21" customFormat="1">
      <c r="A67" s="23"/>
      <c r="B67" s="23"/>
      <c r="C67" s="23"/>
    </row>
    <row r="68" spans="1:3" s="21" customFormat="1">
      <c r="A68" s="23"/>
      <c r="B68" s="23"/>
      <c r="C68" s="23"/>
    </row>
    <row r="69" spans="1:3" s="21" customFormat="1">
      <c r="A69" s="23"/>
      <c r="B69" s="23"/>
      <c r="C69" s="23"/>
    </row>
    <row r="70" spans="1:3" s="21" customFormat="1">
      <c r="A70" s="23"/>
      <c r="B70" s="23"/>
      <c r="C70" s="23"/>
    </row>
    <row r="71" spans="1:3" s="21" customFormat="1">
      <c r="A71" s="23"/>
      <c r="B71" s="23"/>
      <c r="C71" s="23"/>
    </row>
    <row r="72" spans="1:3" s="21" customFormat="1">
      <c r="A72" s="23"/>
      <c r="B72" s="23"/>
      <c r="C72" s="23"/>
    </row>
    <row r="73" spans="1:3" s="21" customFormat="1">
      <c r="A73" s="23"/>
      <c r="B73" s="23"/>
      <c r="C73" s="23"/>
    </row>
    <row r="74" spans="1:3" s="21" customFormat="1">
      <c r="A74" s="23"/>
      <c r="B74" s="23"/>
      <c r="C74" s="23"/>
    </row>
    <row r="75" spans="1:3" s="21" customFormat="1">
      <c r="A75" s="23"/>
      <c r="B75" s="23"/>
      <c r="C75" s="23"/>
    </row>
    <row r="76" spans="1:3" s="21" customFormat="1">
      <c r="A76" s="23"/>
      <c r="B76" s="23"/>
      <c r="C76" s="23"/>
    </row>
    <row r="77" spans="1:3" s="21" customFormat="1">
      <c r="A77" s="23"/>
      <c r="B77" s="23"/>
      <c r="C77" s="23"/>
    </row>
    <row r="78" spans="1:3" s="21" customFormat="1">
      <c r="A78" s="23"/>
      <c r="B78" s="23"/>
      <c r="C78" s="23"/>
    </row>
    <row r="79" spans="1:3" s="21" customFormat="1">
      <c r="A79" s="23"/>
      <c r="B79" s="23"/>
      <c r="C79" s="23"/>
    </row>
    <row r="80" spans="1:3" s="21" customFormat="1">
      <c r="A80" s="23"/>
      <c r="B80" s="23"/>
      <c r="C80" s="23"/>
    </row>
    <row r="81" spans="1:3" s="21" customFormat="1">
      <c r="A81" s="23"/>
      <c r="B81" s="23"/>
      <c r="C81" s="23"/>
    </row>
    <row r="82" spans="1:3" s="21" customFormat="1">
      <c r="A82" s="23"/>
      <c r="B82" s="23"/>
      <c r="C82" s="23"/>
    </row>
    <row r="83" spans="1:3" s="21" customFormat="1">
      <c r="A83" s="23"/>
      <c r="B83" s="23"/>
      <c r="C83" s="23"/>
    </row>
    <row r="84" spans="1:3" s="21" customFormat="1">
      <c r="A84" s="23"/>
      <c r="B84" s="23"/>
      <c r="C84" s="23"/>
    </row>
    <row r="85" spans="1:3" s="21" customFormat="1">
      <c r="A85" s="23"/>
      <c r="B85" s="23"/>
      <c r="C85" s="23"/>
    </row>
    <row r="86" spans="1:3" s="21" customFormat="1">
      <c r="A86" s="23"/>
      <c r="B86" s="23"/>
      <c r="C86" s="23"/>
    </row>
    <row r="87" spans="1:3" s="21" customFormat="1">
      <c r="A87" s="23"/>
      <c r="B87" s="23"/>
      <c r="C87" s="23"/>
    </row>
    <row r="88" spans="1:3" s="21" customFormat="1">
      <c r="A88" s="23"/>
      <c r="B88" s="23"/>
      <c r="C88" s="23"/>
    </row>
    <row r="89" spans="1:3" s="21" customFormat="1">
      <c r="A89" s="23"/>
      <c r="B89" s="23"/>
      <c r="C89" s="23"/>
    </row>
    <row r="90" spans="1:3" s="21" customFormat="1">
      <c r="A90" s="23"/>
      <c r="B90" s="23"/>
      <c r="C90" s="23"/>
    </row>
    <row r="91" spans="1:3" s="21" customFormat="1">
      <c r="A91" s="23"/>
      <c r="B91" s="23"/>
      <c r="C91" s="23"/>
    </row>
    <row r="92" spans="1:3" s="21" customFormat="1">
      <c r="A92" s="23"/>
      <c r="B92" s="23"/>
      <c r="C92" s="23"/>
    </row>
    <row r="93" spans="1:3" s="21" customFormat="1">
      <c r="A93" s="23"/>
      <c r="B93" s="23"/>
      <c r="C93" s="23"/>
    </row>
    <row r="94" spans="1:3" s="21" customFormat="1">
      <c r="A94" s="23"/>
      <c r="B94" s="23"/>
      <c r="C94" s="23"/>
    </row>
    <row r="95" spans="1:3" s="21" customFormat="1">
      <c r="A95" s="23"/>
      <c r="B95" s="23"/>
      <c r="C95" s="23"/>
    </row>
    <row r="96" spans="1:3" s="21" customFormat="1">
      <c r="A96" s="23"/>
      <c r="B96" s="23"/>
      <c r="C96" s="23"/>
    </row>
    <row r="97" spans="1:3" s="21" customFormat="1">
      <c r="A97" s="23"/>
      <c r="B97" s="23"/>
      <c r="C97" s="23"/>
    </row>
    <row r="98" spans="1:3" s="21" customFormat="1">
      <c r="A98" s="23"/>
      <c r="B98" s="23"/>
      <c r="C98" s="23"/>
    </row>
    <row r="99" spans="1:3" s="21" customFormat="1">
      <c r="A99" s="23"/>
      <c r="B99" s="23"/>
      <c r="C99" s="23"/>
    </row>
    <row r="100" spans="1:3" s="21" customFormat="1">
      <c r="A100" s="23"/>
      <c r="B100" s="23"/>
      <c r="C100" s="23"/>
    </row>
    <row r="101" spans="1:3" s="21" customFormat="1">
      <c r="A101" s="23"/>
      <c r="B101" s="23"/>
      <c r="C101" s="23"/>
    </row>
    <row r="102" spans="1:3" s="21" customFormat="1">
      <c r="A102" s="23"/>
      <c r="B102" s="23"/>
      <c r="C102" s="23"/>
    </row>
    <row r="103" spans="1:3" s="21" customFormat="1">
      <c r="A103" s="23"/>
      <c r="B103" s="23"/>
      <c r="C103" s="23"/>
    </row>
    <row r="104" spans="1:3" s="21" customFormat="1">
      <c r="A104" s="23"/>
      <c r="B104" s="23"/>
      <c r="C104" s="23"/>
    </row>
    <row r="105" spans="1:3" s="21" customFormat="1">
      <c r="A105" s="23"/>
      <c r="B105" s="23"/>
      <c r="C105" s="23"/>
    </row>
    <row r="106" spans="1:3" s="21" customFormat="1">
      <c r="A106" s="23"/>
      <c r="B106" s="23"/>
      <c r="C106" s="23"/>
    </row>
    <row r="107" spans="1:3" s="21" customFormat="1">
      <c r="A107" s="23"/>
      <c r="B107" s="23"/>
      <c r="C107" s="23"/>
    </row>
    <row r="108" spans="1:3" s="21" customFormat="1">
      <c r="A108" s="23"/>
      <c r="B108" s="23"/>
      <c r="C108" s="23"/>
    </row>
    <row r="109" spans="1:3" s="21" customFormat="1">
      <c r="A109" s="23"/>
      <c r="B109" s="23"/>
      <c r="C109" s="23"/>
    </row>
    <row r="110" spans="1:3" s="21" customFormat="1">
      <c r="A110" s="23"/>
      <c r="B110" s="23"/>
      <c r="C110" s="23"/>
    </row>
    <row r="111" spans="1:3" s="21" customFormat="1">
      <c r="A111" s="23"/>
      <c r="B111" s="23"/>
      <c r="C111" s="23"/>
    </row>
    <row r="112" spans="1:3" s="21" customFormat="1">
      <c r="A112" s="23"/>
      <c r="B112" s="23"/>
      <c r="C112" s="23"/>
    </row>
    <row r="113" spans="1:3" s="21" customFormat="1">
      <c r="A113" s="23"/>
      <c r="B113" s="23"/>
      <c r="C113" s="23"/>
    </row>
    <row r="114" spans="1:3" s="21" customFormat="1">
      <c r="A114" s="23"/>
      <c r="B114" s="23"/>
      <c r="C114" s="23"/>
    </row>
    <row r="115" spans="1:3" s="21" customFormat="1">
      <c r="A115" s="23"/>
      <c r="B115" s="23"/>
      <c r="C115" s="23"/>
    </row>
    <row r="116" spans="1:3" s="21" customFormat="1">
      <c r="A116" s="23"/>
      <c r="B116" s="23"/>
      <c r="C116" s="23"/>
    </row>
    <row r="117" spans="1:3" s="21" customFormat="1">
      <c r="A117" s="23"/>
      <c r="B117" s="23"/>
      <c r="C117" s="23"/>
    </row>
    <row r="118" spans="1:3" s="21" customFormat="1">
      <c r="A118" s="23"/>
      <c r="B118" s="23"/>
      <c r="C118" s="23"/>
    </row>
    <row r="119" spans="1:3" s="21" customFormat="1">
      <c r="A119" s="23"/>
      <c r="B119" s="23"/>
      <c r="C119" s="23"/>
    </row>
    <row r="120" spans="1:3" s="21" customFormat="1">
      <c r="A120" s="23"/>
      <c r="B120" s="23"/>
      <c r="C120" s="23"/>
    </row>
    <row r="121" spans="1:3" s="21" customFormat="1">
      <c r="A121" s="23"/>
      <c r="B121" s="23"/>
      <c r="C121" s="23"/>
    </row>
    <row r="122" spans="1:3" s="21" customFormat="1">
      <c r="A122" s="23"/>
      <c r="B122" s="23"/>
      <c r="C122" s="23"/>
    </row>
    <row r="123" spans="1:3" s="21" customFormat="1">
      <c r="A123" s="23"/>
      <c r="B123" s="23"/>
      <c r="C123" s="23"/>
    </row>
    <row r="124" spans="1:3" s="21" customFormat="1">
      <c r="A124" s="23"/>
      <c r="B124" s="23"/>
      <c r="C124" s="23"/>
    </row>
    <row r="125" spans="1:3" s="21" customFormat="1">
      <c r="A125" s="23"/>
      <c r="B125" s="23"/>
      <c r="C125" s="23"/>
    </row>
    <row r="126" spans="1:3" s="21" customFormat="1">
      <c r="A126" s="23"/>
      <c r="B126" s="23"/>
      <c r="C126" s="23"/>
    </row>
    <row r="127" spans="1:3" s="21" customFormat="1">
      <c r="A127" s="23"/>
      <c r="B127" s="23"/>
      <c r="C127" s="23"/>
    </row>
    <row r="128" spans="1:3" s="21" customFormat="1">
      <c r="A128" s="23"/>
      <c r="B128" s="23"/>
      <c r="C128" s="23"/>
    </row>
    <row r="129" spans="1:3" s="21" customFormat="1">
      <c r="A129" s="23"/>
      <c r="B129" s="23"/>
      <c r="C129" s="23"/>
    </row>
    <row r="130" spans="1:3" s="21" customFormat="1">
      <c r="A130" s="23"/>
      <c r="B130" s="23"/>
      <c r="C130" s="23"/>
    </row>
    <row r="131" spans="1:3" s="21" customFormat="1">
      <c r="A131" s="23"/>
      <c r="B131" s="23"/>
      <c r="C131" s="23"/>
    </row>
    <row r="132" spans="1:3" s="21" customFormat="1">
      <c r="A132" s="23"/>
      <c r="B132" s="23"/>
      <c r="C132" s="23"/>
    </row>
    <row r="133" spans="1:3" s="21" customFormat="1" hidden="1"/>
    <row r="134" spans="1:3" s="21" customFormat="1" hidden="1"/>
    <row r="135" spans="1:3" s="21" customFormat="1" hidden="1"/>
    <row r="136" spans="1:3" s="21" customFormat="1" hidden="1"/>
    <row r="137" spans="1:3" s="21" customFormat="1" hidden="1"/>
    <row r="138" spans="1:3" s="21" customFormat="1" hidden="1"/>
    <row r="139" spans="1:3" s="21" customFormat="1" hidden="1"/>
    <row r="140" spans="1:3" s="21" customFormat="1" hidden="1"/>
    <row r="141" spans="1:3" s="21" customFormat="1" hidden="1"/>
    <row r="142" spans="1:3" s="21" customFormat="1" hidden="1"/>
    <row r="143" spans="1:3" s="21" customFormat="1" hidden="1"/>
    <row r="144" spans="1:3" s="21" customFormat="1" hidden="1"/>
    <row r="145" s="21" customFormat="1" hidden="1"/>
    <row r="146" s="21" customFormat="1" hidden="1"/>
    <row r="147" s="21" customFormat="1" hidden="1"/>
    <row r="148" s="21" customFormat="1" hidden="1"/>
    <row r="149" s="21" customFormat="1" hidden="1"/>
    <row r="150" s="21" customFormat="1" hidden="1"/>
    <row r="151" s="21" customFormat="1" hidden="1"/>
    <row r="152" s="21" customFormat="1" hidden="1"/>
    <row r="153" s="21" customFormat="1" hidden="1"/>
    <row r="154" s="21" customFormat="1" hidden="1"/>
    <row r="155" s="21" customFormat="1" hidden="1"/>
    <row r="156" s="21" customFormat="1" hidden="1"/>
    <row r="157" s="21" customFormat="1" hidden="1"/>
    <row r="158" s="21" customFormat="1" hidden="1"/>
    <row r="159" s="21" customFormat="1" hidden="1"/>
    <row r="160" s="21" customFormat="1" hidden="1"/>
    <row r="161" s="21" customFormat="1" hidden="1"/>
    <row r="162" s="21" customFormat="1" hidden="1"/>
    <row r="163" s="21" customFormat="1" hidden="1"/>
    <row r="164" s="21" customFormat="1" hidden="1"/>
    <row r="165" s="21" customFormat="1" hidden="1"/>
    <row r="166" s="21" customFormat="1" hidden="1"/>
    <row r="167" s="21" customFormat="1" hidden="1"/>
    <row r="168" s="21" customFormat="1" hidden="1"/>
    <row r="169" s="21" customFormat="1" hidden="1"/>
    <row r="170" s="21" customFormat="1" hidden="1"/>
    <row r="171" s="21" customFormat="1" hidden="1"/>
    <row r="172" s="21" customFormat="1" hidden="1"/>
    <row r="173" s="21" customFormat="1" hidden="1"/>
    <row r="174" s="21" customFormat="1" hidden="1"/>
    <row r="175" s="21" customFormat="1" hidden="1"/>
    <row r="176" s="21" customFormat="1" hidden="1"/>
    <row r="177" s="21" customFormat="1" hidden="1"/>
    <row r="178" s="21" customFormat="1" hidden="1"/>
    <row r="179" s="21" customFormat="1" hidden="1"/>
    <row r="180" s="21" customFormat="1" hidden="1"/>
    <row r="181" s="21" customFormat="1" hidden="1"/>
    <row r="182" s="21" customFormat="1" hidden="1"/>
    <row r="183" s="21" customFormat="1" hidden="1"/>
    <row r="184" s="21" customFormat="1" hidden="1"/>
    <row r="185" s="21" customFormat="1" hidden="1"/>
    <row r="186" s="21" customFormat="1" hidden="1"/>
    <row r="187" s="21" customFormat="1" hidden="1"/>
    <row r="188" s="21" customFormat="1" hidden="1"/>
    <row r="189" s="21" customFormat="1" hidden="1"/>
    <row r="190" s="21" customFormat="1" hidden="1"/>
    <row r="191" s="21" customFormat="1" hidden="1"/>
    <row r="192" s="21" customFormat="1" hidden="1"/>
    <row r="193" s="21" customFormat="1" hidden="1"/>
    <row r="194" s="21" customFormat="1" hidden="1"/>
    <row r="195" s="21" customFormat="1" hidden="1"/>
    <row r="196" s="21" customFormat="1" hidden="1"/>
    <row r="197" s="21" customFormat="1" hidden="1"/>
    <row r="198" s="21" customFormat="1" hidden="1"/>
    <row r="199" s="21" customFormat="1" hidden="1"/>
    <row r="200" s="21" customFormat="1" hidden="1"/>
    <row r="201" s="21" customFormat="1" hidden="1"/>
    <row r="202" s="21" customFormat="1" hidden="1"/>
    <row r="203" s="21" customFormat="1" hidden="1"/>
    <row r="204" s="21" customFormat="1" hidden="1"/>
    <row r="205" s="21" customFormat="1" hidden="1"/>
    <row r="206" s="21" customFormat="1" hidden="1"/>
    <row r="207" s="21" customFormat="1" hidden="1"/>
    <row r="208" s="21" customFormat="1" hidden="1"/>
    <row r="209" s="21" customFormat="1" hidden="1"/>
    <row r="210" s="21" customFormat="1" hidden="1"/>
    <row r="211" s="21" customFormat="1" hidden="1"/>
    <row r="212" s="21" customFormat="1" hidden="1"/>
    <row r="213" s="21" customFormat="1" hidden="1"/>
    <row r="214" s="21" customFormat="1" hidden="1"/>
    <row r="215" s="21" customFormat="1" hidden="1"/>
    <row r="216" s="21" customFormat="1" hidden="1"/>
    <row r="217" s="21" customFormat="1" hidden="1"/>
    <row r="218" s="21" customFormat="1" hidden="1"/>
    <row r="219" s="21" customFormat="1" hidden="1"/>
    <row r="220" s="21" customFormat="1" hidden="1"/>
    <row r="221" s="21" customFormat="1" hidden="1"/>
    <row r="222" s="21" customFormat="1" hidden="1"/>
    <row r="223" s="21" customFormat="1" hidden="1"/>
    <row r="224" s="21" customFormat="1" hidden="1"/>
    <row r="225" s="21" customFormat="1" hidden="1"/>
    <row r="226" s="21" customFormat="1" hidden="1"/>
    <row r="227" s="21" customFormat="1" hidden="1"/>
    <row r="228" s="21" customFormat="1" hidden="1"/>
    <row r="229" s="21" customFormat="1" hidden="1"/>
    <row r="230" s="21" customFormat="1" hidden="1"/>
    <row r="231" s="21" customFormat="1" hidden="1"/>
    <row r="232" s="21" customFormat="1" hidden="1"/>
    <row r="233" s="21" customFormat="1" hidden="1"/>
    <row r="234" s="21" customFormat="1" hidden="1"/>
    <row r="235" s="21" customFormat="1" hidden="1"/>
    <row r="236" s="21" customFormat="1" hidden="1"/>
    <row r="237" s="21" customFormat="1" hidden="1"/>
    <row r="238" s="21" customFormat="1" hidden="1"/>
    <row r="239" s="21" customFormat="1" hidden="1"/>
    <row r="240" s="21" customFormat="1" hidden="1"/>
    <row r="241" s="21" customFormat="1" hidden="1"/>
    <row r="242" s="21" customFormat="1" hidden="1"/>
    <row r="243" s="21" customFormat="1" hidden="1"/>
    <row r="244" s="21" customFormat="1" hidden="1"/>
    <row r="245" s="21" customFormat="1" hidden="1"/>
    <row r="246" s="21" customFormat="1" hidden="1"/>
    <row r="247" s="21" customFormat="1" hidden="1"/>
    <row r="248" s="21" customFormat="1" hidden="1"/>
    <row r="249" s="21" customFormat="1" hidden="1"/>
    <row r="250" s="21" customFormat="1" hidden="1"/>
    <row r="251" s="21" customFormat="1" hidden="1"/>
    <row r="252" s="21" customFormat="1" hidden="1"/>
    <row r="253" s="21" customFormat="1" hidden="1"/>
    <row r="254" s="21" customFormat="1" hidden="1"/>
    <row r="255" s="21" customFormat="1" hidden="1"/>
    <row r="256" s="21" customFormat="1" hidden="1"/>
    <row r="257" s="21" customFormat="1" hidden="1"/>
    <row r="258" s="21" customFormat="1" hidden="1"/>
    <row r="259" s="21" customFormat="1" hidden="1"/>
    <row r="260" s="21" customFormat="1" hidden="1"/>
    <row r="261" s="21" customFormat="1" hidden="1"/>
    <row r="262" s="21" customFormat="1" hidden="1"/>
    <row r="263" s="21" customFormat="1" hidden="1"/>
    <row r="264" s="21" customFormat="1" hidden="1"/>
    <row r="265" s="21" customFormat="1" hidden="1"/>
    <row r="266" s="21" customFormat="1" hidden="1"/>
    <row r="267" s="21" customFormat="1" hidden="1"/>
    <row r="268" s="21" customFormat="1" hidden="1"/>
    <row r="269" s="21" customFormat="1" hidden="1"/>
    <row r="270" s="21" customFormat="1" hidden="1"/>
    <row r="271" s="21" customFormat="1" hidden="1"/>
    <row r="272" s="21" customFormat="1" hidden="1"/>
    <row r="273" s="21" customFormat="1" hidden="1"/>
    <row r="274" s="21" customFormat="1" hidden="1"/>
    <row r="275" s="21" customFormat="1" hidden="1"/>
    <row r="276" s="21" customFormat="1" hidden="1"/>
    <row r="277" s="21" customFormat="1" hidden="1"/>
    <row r="278" s="21" customFormat="1" hidden="1"/>
    <row r="279" s="21" customFormat="1" hidden="1"/>
    <row r="280" s="21" customFormat="1" hidden="1"/>
    <row r="281" s="21" customFormat="1" hidden="1"/>
    <row r="282" s="21" customFormat="1" hidden="1"/>
    <row r="283" s="21" customFormat="1" hidden="1"/>
    <row r="284" s="21" customFormat="1" hidden="1"/>
    <row r="285" s="21" customFormat="1" hidden="1"/>
    <row r="286" s="21" customFormat="1" hidden="1"/>
    <row r="287" s="21" customFormat="1" hidden="1"/>
    <row r="288" s="21" customFormat="1" hidden="1"/>
    <row r="289" s="21" customFormat="1" hidden="1"/>
    <row r="290" s="21" customFormat="1" hidden="1"/>
    <row r="291" s="21" customFormat="1" hidden="1"/>
    <row r="292" s="21" customFormat="1" hidden="1"/>
    <row r="293" s="21" customFormat="1" hidden="1"/>
    <row r="294" s="21" customFormat="1" hidden="1"/>
    <row r="295" s="21" customFormat="1" hidden="1"/>
    <row r="296" s="21" customFormat="1" hidden="1"/>
    <row r="297" s="21" customFormat="1" hidden="1"/>
    <row r="298" s="21" customFormat="1" hidden="1"/>
    <row r="299" s="21" customFormat="1" hidden="1"/>
    <row r="300" s="21" customFormat="1" hidden="1"/>
    <row r="301" s="21" customFormat="1" hidden="1"/>
    <row r="302" s="21" customFormat="1" hidden="1"/>
    <row r="303" s="21" customFormat="1" hidden="1"/>
    <row r="304" s="21" customFormat="1" hidden="1"/>
    <row r="305" s="21" customFormat="1" hidden="1"/>
    <row r="306" s="21" customFormat="1" hidden="1"/>
    <row r="307" s="21" customFormat="1" hidden="1"/>
    <row r="308" s="21" customFormat="1" hidden="1"/>
    <row r="309" s="21" customFormat="1" hidden="1"/>
    <row r="310" s="21" customFormat="1" hidden="1"/>
    <row r="311" s="21" customFormat="1" hidden="1"/>
    <row r="312" s="21" customFormat="1" hidden="1"/>
    <row r="313" s="21" customFormat="1" hidden="1"/>
    <row r="314" s="21" customFormat="1" hidden="1"/>
    <row r="315" s="21" customFormat="1" hidden="1"/>
    <row r="316" s="21" customFormat="1" hidden="1"/>
    <row r="317" s="21" customFormat="1" hidden="1"/>
    <row r="318" s="21" customFormat="1" hidden="1"/>
    <row r="319" s="21" customFormat="1" hidden="1"/>
    <row r="320" s="21" customFormat="1" hidden="1"/>
    <row r="321" s="21" customFormat="1" hidden="1"/>
    <row r="322" s="21" customFormat="1" hidden="1"/>
    <row r="323" s="21" customFormat="1" hidden="1"/>
    <row r="324" s="21" customFormat="1" hidden="1"/>
    <row r="325" s="21" customFormat="1" hidden="1"/>
    <row r="326" s="21" customFormat="1" hidden="1"/>
    <row r="327" s="21" customFormat="1" hidden="1"/>
    <row r="328" s="21" customFormat="1" hidden="1"/>
    <row r="329" s="21" customFormat="1" hidden="1"/>
    <row r="330" s="21" customFormat="1" hidden="1"/>
    <row r="331" s="21" customFormat="1" hidden="1"/>
    <row r="332" s="21" customFormat="1" hidden="1"/>
    <row r="333" s="21" customFormat="1" hidden="1"/>
    <row r="334" s="21" customFormat="1" hidden="1"/>
    <row r="335" s="21" customFormat="1" hidden="1"/>
    <row r="336" s="21" customFormat="1" hidden="1"/>
    <row r="337" s="21" customFormat="1" hidden="1"/>
    <row r="338" s="21" customFormat="1" hidden="1"/>
    <row r="339" s="21" customFormat="1" hidden="1"/>
    <row r="340" s="21" customFormat="1" hidden="1"/>
    <row r="341" s="21" customFormat="1" hidden="1"/>
    <row r="342" s="21" customFormat="1" hidden="1"/>
    <row r="343" s="21" customFormat="1" hidden="1"/>
    <row r="344" s="21" customFormat="1" hidden="1"/>
    <row r="345" s="21" customFormat="1" hidden="1"/>
    <row r="346" s="21" customFormat="1" hidden="1"/>
    <row r="347" s="21" customFormat="1" hidden="1"/>
    <row r="348" s="21" customFormat="1" hidden="1"/>
    <row r="349" s="21" customFormat="1" hidden="1"/>
    <row r="350" s="21" customFormat="1" hidden="1"/>
    <row r="351" s="21" customFormat="1" hidden="1"/>
    <row r="352" s="21" customFormat="1" hidden="1"/>
    <row r="353" s="21" customFormat="1" hidden="1"/>
    <row r="354" s="21" customFormat="1" hidden="1"/>
    <row r="355" s="21" customFormat="1" hidden="1"/>
    <row r="356" s="21" customFormat="1" hidden="1"/>
    <row r="357" s="21" customFormat="1" hidden="1"/>
    <row r="358" s="21" customFormat="1" hidden="1"/>
    <row r="359" s="21" customFormat="1" hidden="1"/>
    <row r="360" s="21" customFormat="1" hidden="1"/>
    <row r="361" s="21" customFormat="1" hidden="1"/>
    <row r="362" s="21" customFormat="1" hidden="1"/>
    <row r="363" s="21" customFormat="1" hidden="1"/>
    <row r="364" s="21" customFormat="1" hidden="1"/>
    <row r="365" s="21" customFormat="1" hidden="1"/>
    <row r="366" s="21" customFormat="1" hidden="1"/>
    <row r="367" s="21" customFormat="1" hidden="1"/>
    <row r="368" s="21" customFormat="1" hidden="1"/>
    <row r="369" s="21" customFormat="1" hidden="1"/>
    <row r="370" s="21" customFormat="1" hidden="1"/>
    <row r="371" s="21" customFormat="1" hidden="1"/>
    <row r="372" s="21" customFormat="1" hidden="1"/>
    <row r="373" s="21" customFormat="1" hidden="1"/>
    <row r="374" s="21" customFormat="1" hidden="1"/>
    <row r="375" s="21" customFormat="1" hidden="1"/>
    <row r="376" s="21" customFormat="1" hidden="1"/>
    <row r="377" s="21" customFormat="1" hidden="1"/>
    <row r="378" s="21" customFormat="1" hidden="1"/>
    <row r="379" s="21" customFormat="1" hidden="1"/>
    <row r="380" s="21" customFormat="1" hidden="1"/>
    <row r="381" s="21" customFormat="1" hidden="1"/>
    <row r="382" s="21" customFormat="1" hidden="1"/>
    <row r="383" s="21" customFormat="1" hidden="1"/>
    <row r="384" s="21" customFormat="1" hidden="1"/>
    <row r="385" s="21" customFormat="1" hidden="1"/>
    <row r="386" s="21" customFormat="1" hidden="1"/>
    <row r="387" s="21" customFormat="1" hidden="1"/>
    <row r="388" s="21" customFormat="1" hidden="1"/>
    <row r="389" s="21" customFormat="1" hidden="1"/>
    <row r="390" s="21" customFormat="1" hidden="1"/>
    <row r="391" s="21" customFormat="1" hidden="1"/>
    <row r="392" s="21" customFormat="1" hidden="1"/>
    <row r="393" s="21" customFormat="1" hidden="1"/>
    <row r="394" s="21" customFormat="1" hidden="1"/>
    <row r="395" s="21" customFormat="1" hidden="1"/>
    <row r="396" s="21" customFormat="1" hidden="1"/>
    <row r="397" s="21" customFormat="1" hidden="1"/>
    <row r="398" s="21" customFormat="1" hidden="1"/>
    <row r="399" s="21" customFormat="1" hidden="1"/>
    <row r="400" s="21" customFormat="1" hidden="1"/>
    <row r="401" s="21" customFormat="1" hidden="1"/>
    <row r="402" s="21" customFormat="1" hidden="1"/>
    <row r="403" s="21" customFormat="1" hidden="1"/>
    <row r="404" s="21" customFormat="1" hidden="1"/>
    <row r="405" s="21" customFormat="1" hidden="1"/>
    <row r="406" s="21" customFormat="1" hidden="1"/>
    <row r="407" s="21" customFormat="1" hidden="1"/>
    <row r="408" s="21" customFormat="1" hidden="1"/>
    <row r="409" s="21" customFormat="1" hidden="1"/>
    <row r="410" s="21" customFormat="1" hidden="1"/>
    <row r="411" s="21" customFormat="1" hidden="1"/>
    <row r="412" s="21" customFormat="1" hidden="1"/>
    <row r="413" s="21" customFormat="1" hidden="1"/>
    <row r="414" s="21" customFormat="1" hidden="1"/>
    <row r="415" s="21" customFormat="1" hidden="1"/>
    <row r="416" s="21" customFormat="1" hidden="1"/>
    <row r="417" s="21" customFormat="1" hidden="1"/>
    <row r="418" s="21" customFormat="1" hidden="1"/>
    <row r="419" s="21" customFormat="1" hidden="1"/>
    <row r="420" s="21" customFormat="1" hidden="1"/>
    <row r="421" s="21" customFormat="1" hidden="1"/>
    <row r="422" s="21" customFormat="1" hidden="1"/>
    <row r="423" s="21" customFormat="1" hidden="1"/>
    <row r="424" s="21" customFormat="1" hidden="1"/>
    <row r="425" s="21" customFormat="1" hidden="1"/>
    <row r="426" s="21" customFormat="1" hidden="1"/>
    <row r="427" s="21" customFormat="1" hidden="1"/>
    <row r="428" s="21" customFormat="1" hidden="1"/>
    <row r="429" s="21" customFormat="1" hidden="1"/>
    <row r="430" s="21" customFormat="1" hidden="1"/>
    <row r="431" s="21" customFormat="1" hidden="1"/>
    <row r="432" s="21" customFormat="1" hidden="1"/>
    <row r="433" s="21" customFormat="1" hidden="1"/>
    <row r="434" s="21" customFormat="1" hidden="1"/>
    <row r="435" s="21" customFormat="1" hidden="1"/>
    <row r="436" s="21" customFormat="1" hidden="1"/>
    <row r="437" s="21" customFormat="1" hidden="1"/>
    <row r="438" s="21" customFormat="1" hidden="1"/>
    <row r="439" s="21" customFormat="1" hidden="1"/>
    <row r="440" s="21" customFormat="1" hidden="1"/>
    <row r="441" s="21" customFormat="1" hidden="1"/>
    <row r="442" s="21" customFormat="1" hidden="1"/>
    <row r="443" s="21" customFormat="1" hidden="1"/>
    <row r="444" s="21" customFormat="1" hidden="1"/>
    <row r="445" s="21" customFormat="1" hidden="1"/>
    <row r="446" s="21" customFormat="1" hidden="1"/>
    <row r="447" s="21" customFormat="1" hidden="1"/>
    <row r="448" s="21" customFormat="1" hidden="1"/>
    <row r="449" s="21" customFormat="1" hidden="1"/>
    <row r="450" s="21" customFormat="1" hidden="1"/>
    <row r="451" s="21" customFormat="1" hidden="1"/>
    <row r="452" s="21" customFormat="1" hidden="1"/>
    <row r="453" s="21" customFormat="1" hidden="1"/>
    <row r="454" s="21" customFormat="1" hidden="1"/>
    <row r="455" s="21" customFormat="1" hidden="1"/>
    <row r="456" s="21" customFormat="1" hidden="1"/>
    <row r="457" s="21" customFormat="1" hidden="1"/>
    <row r="458" s="21" customFormat="1" hidden="1"/>
    <row r="459" s="21" customFormat="1" hidden="1"/>
    <row r="460" s="21" customFormat="1" hidden="1"/>
    <row r="461" s="21" customFormat="1" hidden="1"/>
    <row r="462" s="21" customFormat="1" hidden="1"/>
    <row r="463" s="21" customFormat="1" hidden="1"/>
    <row r="464" s="21" customFormat="1" hidden="1"/>
    <row r="465" s="21" customFormat="1" hidden="1"/>
    <row r="466" s="21" customFormat="1" hidden="1"/>
    <row r="467" s="21" customFormat="1" hidden="1"/>
    <row r="468" s="21" customFormat="1" hidden="1"/>
    <row r="469" s="21" customFormat="1" hidden="1"/>
    <row r="470" s="21" customFormat="1" hidden="1"/>
    <row r="471" s="21" customFormat="1" hidden="1"/>
    <row r="472" s="21" customFormat="1" hidden="1"/>
    <row r="473" s="21" customFormat="1" hidden="1"/>
    <row r="474" s="21" customFormat="1" hidden="1"/>
    <row r="475" s="21" customFormat="1" hidden="1"/>
    <row r="476" s="21" customFormat="1" hidden="1"/>
    <row r="477" s="21" customFormat="1" hidden="1"/>
    <row r="478" s="21" customFormat="1" hidden="1"/>
    <row r="479" s="21" customFormat="1" hidden="1"/>
    <row r="480" s="21" customFormat="1" hidden="1"/>
    <row r="481" s="21" customFormat="1" hidden="1"/>
    <row r="482" s="21" customFormat="1" hidden="1"/>
    <row r="483" s="21" customFormat="1" hidden="1"/>
    <row r="484" s="21" customFormat="1" hidden="1"/>
    <row r="485" s="21" customFormat="1" hidden="1"/>
    <row r="486" s="21" customFormat="1" hidden="1"/>
    <row r="487" s="21" customFormat="1" hidden="1"/>
    <row r="488" s="21" customFormat="1" hidden="1"/>
    <row r="489" s="21" customFormat="1" hidden="1"/>
    <row r="490" s="21" customFormat="1" hidden="1"/>
    <row r="491" s="21" customFormat="1" hidden="1"/>
    <row r="492" s="21" customFormat="1" hidden="1"/>
    <row r="493" s="21" customFormat="1" hidden="1"/>
    <row r="494" s="21" customFormat="1" hidden="1"/>
    <row r="495" s="21" customFormat="1" hidden="1"/>
    <row r="496" s="21" customFormat="1" hidden="1"/>
    <row r="497" s="21" customFormat="1" hidden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19483571-f922-4e8e-9c1c-26f0a2252132"/>
    <ds:schemaRef ds:uri="http://schemas.openxmlformats.org/package/2006/metadata/core-properties"/>
    <ds:schemaRef ds:uri="851b35d3-0456-4d6a-bc2f-da927e91d1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Business question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Darren Paranhos</cp:lastModifiedBy>
  <dcterms:created xsi:type="dcterms:W3CDTF">2024-12-19T13:13:10Z</dcterms:created>
  <dcterms:modified xsi:type="dcterms:W3CDTF">2026-01-03T13:10:19Z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